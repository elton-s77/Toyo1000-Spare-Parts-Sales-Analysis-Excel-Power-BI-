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ton\Desktop\Proyectos\Proyecto AdministracionToyo\"/>
    </mc:Choice>
  </mc:AlternateContent>
  <xr:revisionPtr revIDLastSave="0" documentId="13_ncr:1_{044310FA-B70A-4DDF-96AA-9CD77CB645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Ventas diarias" sheetId="2" r:id="rId2"/>
    <sheet name="Gastos F-E" sheetId="3" r:id="rId3"/>
    <sheet name="Pagos" sheetId="4" r:id="rId4"/>
    <sheet name="Forane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I81" i="3"/>
  <c r="F17" i="1" l="1"/>
  <c r="J9" i="4"/>
  <c r="K9" i="4"/>
  <c r="N9" i="4" s="1"/>
  <c r="I8" i="3"/>
  <c r="L8" i="3" s="1"/>
  <c r="I9" i="3"/>
  <c r="L9" i="3" s="1"/>
  <c r="I10" i="3"/>
  <c r="L10" i="3" s="1"/>
  <c r="I11" i="3" l="1"/>
  <c r="L11" i="3" s="1"/>
  <c r="I12" i="3"/>
  <c r="L12" i="3" s="1"/>
  <c r="I13" i="3"/>
  <c r="L13" i="3" s="1"/>
  <c r="C6" i="2"/>
  <c r="K6" i="2"/>
  <c r="C7" i="2"/>
  <c r="K7" i="2"/>
  <c r="C8" i="2" l="1"/>
  <c r="K8" i="2"/>
  <c r="C9" i="2"/>
  <c r="K9" i="2"/>
  <c r="C10" i="2"/>
  <c r="K10" i="2"/>
  <c r="C11" i="2"/>
  <c r="K11" i="2"/>
  <c r="T19" i="1"/>
  <c r="I22" i="3" l="1"/>
  <c r="L22" i="3" s="1"/>
  <c r="C12" i="2" l="1"/>
  <c r="K12" i="2"/>
  <c r="C13" i="2"/>
  <c r="K13" i="2"/>
  <c r="J11" i="4" l="1"/>
  <c r="N11" i="4"/>
  <c r="J8" i="4" l="1"/>
  <c r="K8" i="4"/>
  <c r="N8" i="4" s="1"/>
  <c r="C14" i="2" l="1"/>
  <c r="K14" i="2"/>
  <c r="C15" i="2"/>
  <c r="K15" i="2"/>
  <c r="C16" i="2"/>
  <c r="K16" i="2"/>
  <c r="J10" i="4" l="1"/>
  <c r="K10" i="4"/>
  <c r="N10" i="4" s="1"/>
  <c r="C17" i="2" l="1"/>
  <c r="K17" i="2"/>
  <c r="I17" i="3" l="1"/>
  <c r="L17" i="3" s="1"/>
  <c r="I14" i="3"/>
  <c r="L14" i="3" s="1"/>
  <c r="I15" i="3"/>
  <c r="L15" i="3" s="1"/>
  <c r="I16" i="3"/>
  <c r="L16" i="3" s="1"/>
  <c r="I23" i="3"/>
  <c r="L23" i="3" s="1"/>
  <c r="I18" i="3"/>
  <c r="L18" i="3" s="1"/>
  <c r="J12" i="4" l="1"/>
  <c r="K12" i="4"/>
  <c r="N12" i="4" s="1"/>
  <c r="K22" i="2" l="1"/>
  <c r="C18" i="2"/>
  <c r="K18" i="2"/>
  <c r="C19" i="2"/>
  <c r="K19" i="2"/>
  <c r="C20" i="2"/>
  <c r="K20" i="2"/>
  <c r="C21" i="2"/>
  <c r="K21" i="2"/>
  <c r="C22" i="2"/>
  <c r="J13" i="4" l="1"/>
  <c r="K13" i="4"/>
  <c r="N13" i="4" s="1"/>
  <c r="C23" i="2" l="1"/>
  <c r="K23" i="2"/>
  <c r="C24" i="2"/>
  <c r="K24" i="2"/>
  <c r="C25" i="2"/>
  <c r="K25" i="2"/>
  <c r="C26" i="2"/>
  <c r="K26" i="2"/>
  <c r="J14" i="4" l="1"/>
  <c r="K14" i="4"/>
  <c r="N14" i="4" s="1"/>
  <c r="C27" i="2" l="1"/>
  <c r="K27" i="2"/>
  <c r="C28" i="2"/>
  <c r="K28" i="2"/>
  <c r="C29" i="2"/>
  <c r="K29" i="2"/>
  <c r="C30" i="2"/>
  <c r="K30" i="2"/>
  <c r="C31" i="2"/>
  <c r="K31" i="2"/>
  <c r="C32" i="2"/>
  <c r="K32" i="2"/>
  <c r="F15" i="4" l="1"/>
  <c r="G15" i="4" s="1"/>
  <c r="D15" i="4" s="1"/>
  <c r="F22" i="4"/>
  <c r="G22" i="4" s="1"/>
  <c r="D22" i="4" s="1"/>
  <c r="F23" i="4"/>
  <c r="G23" i="4" s="1"/>
  <c r="D23" i="4" s="1"/>
  <c r="I19" i="3"/>
  <c r="L19" i="3" s="1"/>
  <c r="I20" i="3"/>
  <c r="L20" i="3" s="1"/>
  <c r="I21" i="3"/>
  <c r="L21" i="3" s="1"/>
  <c r="I24" i="3"/>
  <c r="L24" i="3" s="1"/>
  <c r="C33" i="2" l="1"/>
  <c r="K33" i="2"/>
  <c r="F13" i="4"/>
  <c r="G13" i="4" s="1"/>
  <c r="D13" i="4" s="1"/>
  <c r="F14" i="4"/>
  <c r="G14" i="4" s="1"/>
  <c r="D14" i="4" s="1"/>
  <c r="J15" i="4" l="1"/>
  <c r="K15" i="4"/>
  <c r="N15" i="4" s="1"/>
  <c r="C34" i="2"/>
  <c r="K34" i="2"/>
  <c r="C35" i="2"/>
  <c r="K35" i="2"/>
  <c r="C36" i="2"/>
  <c r="K36" i="2"/>
  <c r="C37" i="2"/>
  <c r="K37" i="2"/>
  <c r="C38" i="2"/>
  <c r="K38" i="2"/>
  <c r="C39" i="2" l="1"/>
  <c r="K39" i="2"/>
  <c r="C41" i="2"/>
  <c r="K41" i="2"/>
  <c r="C40" i="2"/>
  <c r="K40" i="2"/>
  <c r="J16" i="4" l="1"/>
  <c r="N16" i="4"/>
  <c r="C43" i="2"/>
  <c r="K43" i="2"/>
  <c r="C42" i="2"/>
  <c r="K42" i="2"/>
  <c r="K55" i="2" l="1"/>
  <c r="C44" i="2" l="1"/>
  <c r="K44" i="2"/>
  <c r="C45" i="2"/>
  <c r="K45" i="2"/>
  <c r="C46" i="2"/>
  <c r="K46" i="2"/>
  <c r="C47" i="2" l="1"/>
  <c r="K47" i="2"/>
  <c r="C48" i="2"/>
  <c r="K48" i="2"/>
  <c r="C49" i="2"/>
  <c r="K49" i="2"/>
  <c r="C50" i="2" l="1"/>
  <c r="K50" i="2"/>
  <c r="C51" i="2"/>
  <c r="K51" i="2"/>
  <c r="F11" i="4" l="1"/>
  <c r="F12" i="4"/>
  <c r="F16" i="4"/>
  <c r="J19" i="4"/>
  <c r="J18" i="4"/>
  <c r="J20" i="4"/>
  <c r="J17" i="4"/>
  <c r="K19" i="4"/>
  <c r="N19" i="4" s="1"/>
  <c r="K18" i="4"/>
  <c r="N18" i="4" s="1"/>
  <c r="K20" i="4"/>
  <c r="N20" i="4" s="1"/>
  <c r="K17" i="4"/>
  <c r="N17" i="4" s="1"/>
  <c r="G16" i="4" l="1"/>
  <c r="D16" i="4" s="1"/>
  <c r="G12" i="4"/>
  <c r="D12" i="4" s="1"/>
  <c r="G11" i="4"/>
  <c r="D11" i="4" s="1"/>
  <c r="J21" i="4" l="1"/>
  <c r="K21" i="4"/>
  <c r="N21" i="4" s="1"/>
  <c r="K133" i="2" l="1"/>
  <c r="F20" i="1" s="1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4" i="2"/>
  <c r="K53" i="2"/>
  <c r="K52" i="2"/>
  <c r="K56" i="2"/>
  <c r="F18" i="1" s="1"/>
  <c r="G96" i="2"/>
  <c r="G95" i="2"/>
  <c r="C53" i="2"/>
  <c r="C54" i="2"/>
  <c r="C55" i="2"/>
  <c r="C56" i="2"/>
  <c r="C57" i="2"/>
  <c r="F10" i="4" l="1"/>
  <c r="G10" i="4" l="1"/>
  <c r="D10" i="4" s="1"/>
  <c r="J22" i="4"/>
  <c r="K22" i="4"/>
  <c r="N22" i="4" s="1"/>
  <c r="C58" i="2"/>
  <c r="C59" i="2"/>
  <c r="C60" i="2"/>
  <c r="C61" i="2"/>
  <c r="C62" i="2"/>
  <c r="C63" i="2"/>
  <c r="C64" i="2"/>
  <c r="J24" i="4" l="1"/>
  <c r="K24" i="4"/>
  <c r="N24" i="4" s="1"/>
  <c r="C52" i="2"/>
  <c r="C65" i="2"/>
  <c r="C66" i="2"/>
  <c r="J23" i="4" l="1"/>
  <c r="K23" i="4"/>
  <c r="N23" i="4" s="1"/>
  <c r="F19" i="1"/>
  <c r="F21" i="1"/>
  <c r="F22" i="1"/>
  <c r="F23" i="1"/>
  <c r="F24" i="1"/>
  <c r="F25" i="1"/>
  <c r="F26" i="1"/>
  <c r="F27" i="1"/>
  <c r="F21" i="4" l="1"/>
  <c r="G21" i="4" l="1"/>
  <c r="D21" i="4" s="1"/>
  <c r="C85" i="2"/>
  <c r="J25" i="4" l="1"/>
  <c r="K25" i="4"/>
  <c r="N25" i="4" s="1"/>
  <c r="C67" i="2" l="1"/>
  <c r="C68" i="2"/>
  <c r="C69" i="2" l="1"/>
  <c r="C70" i="2" l="1"/>
  <c r="C71" i="2" l="1"/>
  <c r="I65" i="3" l="1"/>
  <c r="I64" i="3"/>
  <c r="I63" i="3"/>
  <c r="I62" i="3"/>
  <c r="I61" i="3"/>
  <c r="I66" i="3"/>
  <c r="I67" i="3"/>
  <c r="I68" i="3"/>
  <c r="I69" i="3"/>
  <c r="I70" i="3"/>
  <c r="I73" i="3"/>
  <c r="I72" i="3"/>
  <c r="I71" i="3"/>
  <c r="I74" i="3"/>
  <c r="I79" i="3"/>
  <c r="I78" i="3"/>
  <c r="I77" i="3"/>
  <c r="I76" i="3"/>
  <c r="I75" i="3"/>
  <c r="I80" i="3"/>
  <c r="I84" i="3"/>
  <c r="I94" i="3"/>
  <c r="I93" i="3"/>
  <c r="I92" i="3"/>
  <c r="I91" i="3"/>
  <c r="I90" i="3"/>
  <c r="I89" i="3"/>
  <c r="I88" i="3"/>
  <c r="I87" i="3"/>
  <c r="I86" i="3"/>
  <c r="I85" i="3"/>
  <c r="I100" i="3"/>
  <c r="I99" i="3"/>
  <c r="I98" i="3"/>
  <c r="I97" i="3"/>
  <c r="I96" i="3"/>
  <c r="I95" i="3"/>
  <c r="I103" i="3"/>
  <c r="I102" i="3"/>
  <c r="I101" i="3"/>
  <c r="I108" i="3"/>
  <c r="I107" i="3"/>
  <c r="I106" i="3"/>
  <c r="I105" i="3"/>
  <c r="I104" i="3"/>
  <c r="I115" i="3"/>
  <c r="I114" i="3"/>
  <c r="I113" i="3"/>
  <c r="I112" i="3"/>
  <c r="I111" i="3"/>
  <c r="I110" i="3"/>
  <c r="I109" i="3"/>
  <c r="I116" i="3"/>
  <c r="I119" i="3"/>
  <c r="I118" i="3"/>
  <c r="I117" i="3"/>
  <c r="I121" i="3"/>
  <c r="I120" i="3"/>
  <c r="I26" i="3"/>
  <c r="I25" i="3"/>
  <c r="I33" i="3"/>
  <c r="I32" i="3"/>
  <c r="I31" i="3"/>
  <c r="I37" i="3"/>
  <c r="I27" i="3"/>
  <c r="I34" i="3"/>
  <c r="I29" i="3"/>
  <c r="I38" i="3"/>
  <c r="I30" i="3"/>
  <c r="I36" i="3"/>
  <c r="I35" i="3"/>
  <c r="I42" i="3"/>
  <c r="I41" i="3"/>
  <c r="I40" i="3"/>
  <c r="I44" i="3"/>
  <c r="I43" i="3"/>
  <c r="I45" i="3"/>
  <c r="I47" i="3"/>
  <c r="I39" i="3"/>
  <c r="I46" i="3"/>
  <c r="I48" i="3"/>
  <c r="I49" i="3"/>
  <c r="I28" i="3"/>
  <c r="C84" i="2" l="1"/>
  <c r="C83" i="2"/>
  <c r="C82" i="2"/>
  <c r="C81" i="2"/>
  <c r="C80" i="2"/>
  <c r="C79" i="2"/>
  <c r="C78" i="2"/>
  <c r="C77" i="2"/>
  <c r="C76" i="2"/>
  <c r="C75" i="2"/>
  <c r="C74" i="2"/>
  <c r="C73" i="2"/>
  <c r="C72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J27" i="4" l="1"/>
  <c r="K27" i="4"/>
  <c r="N27" i="4" s="1"/>
  <c r="F20" i="4" s="1"/>
  <c r="G20" i="4" l="1"/>
  <c r="D20" i="4" s="1"/>
  <c r="J28" i="4" l="1"/>
  <c r="K28" i="4"/>
  <c r="N28" i="4" s="1"/>
  <c r="F18" i="4"/>
  <c r="G18" i="4" s="1"/>
  <c r="D18" i="4" s="1"/>
  <c r="J26" i="4"/>
  <c r="K26" i="4"/>
  <c r="N26" i="4" s="1"/>
  <c r="F19" i="4" s="1"/>
  <c r="G19" i="4" s="1"/>
  <c r="D19" i="4" s="1"/>
  <c r="F8" i="4"/>
  <c r="G8" i="4" l="1"/>
  <c r="D8" i="4" s="1"/>
  <c r="E9" i="5"/>
  <c r="E10" i="5"/>
  <c r="E11" i="5"/>
  <c r="L49" i="3"/>
  <c r="L48" i="3"/>
  <c r="L46" i="3"/>
  <c r="L39" i="3"/>
  <c r="L47" i="3"/>
  <c r="L45" i="3"/>
  <c r="L43" i="3"/>
  <c r="L44" i="3"/>
  <c r="L40" i="3"/>
  <c r="L41" i="3"/>
  <c r="L42" i="3"/>
  <c r="L35" i="3"/>
  <c r="L36" i="3"/>
  <c r="L30" i="3"/>
  <c r="L38" i="3"/>
  <c r="L29" i="3"/>
  <c r="L34" i="3"/>
  <c r="L27" i="3"/>
  <c r="L37" i="3"/>
  <c r="L31" i="3"/>
  <c r="L32" i="3"/>
  <c r="L33" i="3"/>
  <c r="L25" i="3"/>
  <c r="L26" i="3"/>
  <c r="C3" i="3" l="1"/>
  <c r="B3" i="3"/>
  <c r="L28" i="3"/>
  <c r="L65" i="3"/>
  <c r="L64" i="3"/>
  <c r="L63" i="3"/>
  <c r="L62" i="3"/>
  <c r="L61" i="3"/>
  <c r="L66" i="3"/>
  <c r="L68" i="3"/>
  <c r="L69" i="3"/>
  <c r="L70" i="3"/>
  <c r="L73" i="3"/>
  <c r="L72" i="3"/>
  <c r="L71" i="3"/>
  <c r="L74" i="3"/>
  <c r="L79" i="3"/>
  <c r="L78" i="3"/>
  <c r="L77" i="3"/>
  <c r="L76" i="3"/>
  <c r="L75" i="3"/>
  <c r="L80" i="3"/>
  <c r="L81" i="3"/>
  <c r="L82" i="3"/>
  <c r="L84" i="3"/>
  <c r="L94" i="3"/>
  <c r="L93" i="3"/>
  <c r="L92" i="3"/>
  <c r="L91" i="3"/>
  <c r="L90" i="3"/>
  <c r="L89" i="3"/>
  <c r="L88" i="3"/>
  <c r="L87" i="3"/>
  <c r="L86" i="3"/>
  <c r="L85" i="3"/>
  <c r="L100" i="3"/>
  <c r="L99" i="3"/>
  <c r="L98" i="3"/>
  <c r="L97" i="3"/>
  <c r="L96" i="3"/>
  <c r="L95" i="3"/>
  <c r="L103" i="3"/>
  <c r="L102" i="3"/>
  <c r="L101" i="3"/>
  <c r="L108" i="3"/>
  <c r="L107" i="3"/>
  <c r="L106" i="3"/>
  <c r="L105" i="3"/>
  <c r="L104" i="3"/>
  <c r="L115" i="3"/>
  <c r="L114" i="3"/>
  <c r="L113" i="3"/>
  <c r="L112" i="3"/>
  <c r="L111" i="3"/>
  <c r="L110" i="3"/>
  <c r="L109" i="3"/>
  <c r="L116" i="3"/>
  <c r="L119" i="3"/>
  <c r="L118" i="3"/>
  <c r="L117" i="3"/>
  <c r="L121" i="3"/>
  <c r="L120" i="3"/>
  <c r="L83" i="3"/>
  <c r="J3" i="5" l="1"/>
  <c r="J33" i="4" l="1"/>
  <c r="K33" i="4"/>
  <c r="N33" i="4" s="1"/>
  <c r="B5" i="4" s="1"/>
  <c r="L67" i="3"/>
  <c r="J95" i="2" l="1"/>
  <c r="S19" i="1" s="1"/>
  <c r="J96" i="2"/>
  <c r="K96" i="2" s="1"/>
  <c r="D3" i="3"/>
  <c r="C15" i="1"/>
  <c r="A3" i="3"/>
  <c r="C13" i="1" s="1"/>
  <c r="K95" i="2"/>
  <c r="E8" i="5"/>
  <c r="C14" i="1"/>
  <c r="M9" i="1" s="1"/>
  <c r="F16" i="1" l="1"/>
  <c r="F30" i="1" s="1"/>
  <c r="C7" i="1"/>
  <c r="F9" i="4"/>
  <c r="E3" i="3"/>
  <c r="M8" i="1" l="1"/>
  <c r="M10" i="1" s="1"/>
  <c r="C8" i="1"/>
  <c r="C10" i="1" s="1"/>
  <c r="G9" i="4"/>
  <c r="D9" i="4" s="1"/>
  <c r="F17" i="4"/>
  <c r="G17" i="4" l="1"/>
  <c r="H3" i="5"/>
  <c r="D17" i="4" l="1"/>
  <c r="I7" i="1"/>
  <c r="I8" i="1"/>
  <c r="B2" i="4" l="1"/>
  <c r="B3" i="4"/>
  <c r="I9" i="1"/>
  <c r="I11" i="1" s="1"/>
  <c r="I10" i="1" s="1"/>
  <c r="C16" i="1" l="1"/>
  <c r="B4" i="4"/>
  <c r="C21" i="1"/>
  <c r="C17" i="1" l="1"/>
  <c r="C19" i="1"/>
  <c r="C18" i="1"/>
  <c r="F9" i="1" s="1"/>
  <c r="Q8" i="1" s="1"/>
  <c r="C22" i="1"/>
  <c r="C11" i="1"/>
  <c r="C12" i="1" s="1"/>
  <c r="C20" i="1" l="1"/>
  <c r="F8" i="1"/>
  <c r="Q11" i="1" s="1"/>
  <c r="F7" i="1"/>
  <c r="Q9" i="1" s="1"/>
  <c r="F10" i="1"/>
  <c r="Q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</author>
    <author>administrador</author>
    <author>CocinaReplay</author>
  </authors>
  <commentList>
    <comment ref="A9" authorId="0" shapeId="0" xr:uid="{A2315B61-EE8A-4380-9A9E-A046754183E9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0285-6541802</t>
        </r>
      </text>
    </comment>
    <comment ref="B18" authorId="0" shapeId="0" xr:uid="{0FF6E098-1C90-4F5D-BC60-AEFD63914576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PAGADO HASTA ENERO</t>
        </r>
      </text>
    </comment>
    <comment ref="F38" authorId="1" shapeId="0" xr:uid="{825D29CA-692A-416F-92BF-48B58F8670B7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comprado por la doña</t>
        </r>
      </text>
    </comment>
    <comment ref="J58" authorId="2" shapeId="0" xr:uid="{AD4DFCBF-C474-4674-A0E0-AAA2AB7751AE}">
      <text>
        <r>
          <rPr>
            <b/>
            <sz val="9"/>
            <color indexed="81"/>
            <rFont val="Tahoma"/>
            <family val="2"/>
          </rPr>
          <t>CocinaReplay:</t>
        </r>
        <r>
          <rPr>
            <sz val="9"/>
            <color indexed="81"/>
            <rFont val="Tahoma"/>
            <family val="2"/>
          </rPr>
          <t xml:space="preserve">
3690
</t>
        </r>
      </text>
    </comment>
    <comment ref="J59" authorId="2" shapeId="0" xr:uid="{8AEA3BC0-0405-49F2-8CF5-2DD38CB8DB49}">
      <text>
        <r>
          <rPr>
            <b/>
            <sz val="9"/>
            <color indexed="81"/>
            <rFont val="Tahoma"/>
            <family val="2"/>
          </rPr>
          <t>CocinaReplay:</t>
        </r>
        <r>
          <rPr>
            <sz val="9"/>
            <color indexed="81"/>
            <rFont val="Tahoma"/>
            <family val="2"/>
          </rPr>
          <t xml:space="preserve">
5088
</t>
        </r>
      </text>
    </comment>
    <comment ref="F67" authorId="1" shapeId="0" xr:uid="{E80B96E9-E211-45A8-B1E8-B0954E739F73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anual
</t>
        </r>
      </text>
    </comment>
    <comment ref="J70" authorId="0" shapeId="0" xr:uid="{66C76377-F3E2-481F-9758-1008796202B6}">
      <text>
        <r>
          <rPr>
            <b/>
            <sz val="9"/>
            <color indexed="81"/>
            <rFont val="Tahoma"/>
            <family val="2"/>
          </rPr>
          <t xml:space="preserve">Isabel:
2183
</t>
        </r>
      </text>
    </comment>
    <comment ref="F86" authorId="0" shapeId="0" xr:uid="{11F3F353-0D32-4AB1-8E13-628C1D197482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RETRASADO DE NOVIEMBRE</t>
        </r>
      </text>
    </comment>
    <comment ref="F116" authorId="0" shapeId="0" xr:uid="{01B61049-051A-4B0F-A174-950AAEB203CA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MES DE NOVIEMBRE</t>
        </r>
      </text>
    </comment>
    <comment ref="K116" authorId="0" shapeId="0" xr:uid="{F9082F4B-0E87-4D61-A635-AB73CF165FBC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ZELLE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</author>
    <author>administrador</author>
  </authors>
  <commentList>
    <comment ref="I7" authorId="0" shapeId="0" xr:uid="{9EA796DD-09C9-4D7A-A599-C93F5DC27F9D}">
      <text>
        <r>
          <rPr>
            <b/>
            <sz val="9"/>
            <color indexed="81"/>
            <rFont val="Tahoma"/>
            <family val="2"/>
          </rPr>
          <t>Isabel:</t>
        </r>
        <r>
          <rPr>
            <sz val="9"/>
            <color indexed="81"/>
            <rFont val="Tahoma"/>
            <family val="2"/>
          </rPr>
          <t xml:space="preserve">
nro de factura nos ayuda a encontrar el pedido</t>
        </r>
      </text>
    </comment>
    <comment ref="A8" authorId="1" shapeId="0" xr:uid="{EB5B082C-322F-422E-93A2-ADFCB0C48A55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notas en conjunto 0159-0157-0155-0165</t>
        </r>
      </text>
    </comment>
    <comment ref="I8" authorId="1" shapeId="0" xr:uid="{3466FDC9-8A02-49E3-B1C5-D75605C5628E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obligado a pagar por la doña</t>
        </r>
      </text>
    </comment>
    <comment ref="A17" authorId="1" shapeId="0" xr:uid="{46F0D800-3183-4766-BC8C-1E9DB2D69749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Notas en conjunto 7001-7002-7003-7006-7007-7008-7011</t>
        </r>
      </text>
    </comment>
  </commentList>
</comments>
</file>

<file path=xl/sharedStrings.xml><?xml version="1.0" encoding="utf-8"?>
<sst xmlns="http://schemas.openxmlformats.org/spreadsheetml/2006/main" count="384" uniqueCount="212">
  <si>
    <t>Fecha</t>
  </si>
  <si>
    <t>Tasa</t>
  </si>
  <si>
    <t>Venta $</t>
  </si>
  <si>
    <t>Total</t>
  </si>
  <si>
    <t>Costo $</t>
  </si>
  <si>
    <t>VENTAS CON IVA</t>
  </si>
  <si>
    <t>VENTAS SIN IVA</t>
  </si>
  <si>
    <t>COSTOS SIN IVA</t>
  </si>
  <si>
    <t>IVA</t>
  </si>
  <si>
    <t>GASTOS EVENTUALES</t>
  </si>
  <si>
    <t>UTILIDAD BRUTA</t>
  </si>
  <si>
    <t xml:space="preserve">UTILIDA NETA </t>
  </si>
  <si>
    <t>TOTAL COMISIONES</t>
  </si>
  <si>
    <t xml:space="preserve">% UTILIDAD </t>
  </si>
  <si>
    <t xml:space="preserve">GASTOS FIJOS </t>
  </si>
  <si>
    <t>MONTO</t>
  </si>
  <si>
    <t>ALQUILER LOCAL</t>
  </si>
  <si>
    <t>DIVA ACTIVIDAD ECONOMICA</t>
  </si>
  <si>
    <t xml:space="preserve">CONTADORES </t>
  </si>
  <si>
    <t>TOTAL FIJOS</t>
  </si>
  <si>
    <t>VENTA</t>
  </si>
  <si>
    <t>COSTO</t>
  </si>
  <si>
    <t>UTILIDAD B</t>
  </si>
  <si>
    <t>UTILIDAD N</t>
  </si>
  <si>
    <t>COMISION</t>
  </si>
  <si>
    <t xml:space="preserve">FECHA </t>
  </si>
  <si>
    <t xml:space="preserve">GANANCIA </t>
  </si>
  <si>
    <t xml:space="preserve">REPUESTO </t>
  </si>
  <si>
    <t xml:space="preserve">FORMA DE PAGO </t>
  </si>
  <si>
    <t>TOTAL VENTA</t>
  </si>
  <si>
    <t>TOTAL COSTO</t>
  </si>
  <si>
    <t>PROVEEDOR</t>
  </si>
  <si>
    <t>NRO FACTURA</t>
  </si>
  <si>
    <t>ESTADO</t>
  </si>
  <si>
    <t>DEUDA TOTAL</t>
  </si>
  <si>
    <t>FECHA</t>
  </si>
  <si>
    <t>RPOVEEDOR</t>
  </si>
  <si>
    <t>ABONO</t>
  </si>
  <si>
    <t>EXCESO ABONADO</t>
  </si>
  <si>
    <t>DOLARES</t>
  </si>
  <si>
    <t>LUZ</t>
  </si>
  <si>
    <t>AGUA</t>
  </si>
  <si>
    <t>ASEO</t>
  </si>
  <si>
    <t>SEGURO SOCIAL</t>
  </si>
  <si>
    <t>CANTV</t>
  </si>
  <si>
    <t>EDDIE</t>
  </si>
  <si>
    <t>EN DEUDA</t>
  </si>
  <si>
    <t>NOMINA QUINCENAL</t>
  </si>
  <si>
    <t>NOMINA ULTIMO</t>
  </si>
  <si>
    <t>SERVICIO (ACTIVIDAD ECONOMICA)</t>
  </si>
  <si>
    <t>30-MENSUAL</t>
  </si>
  <si>
    <t>15-MENSUAL</t>
  </si>
  <si>
    <t>10-MENSUAL</t>
  </si>
  <si>
    <t>TRIMESTRAL</t>
  </si>
  <si>
    <t>REFERENCIA</t>
  </si>
  <si>
    <t>DEUDA</t>
  </si>
  <si>
    <t>SALDO ACTUAL</t>
  </si>
  <si>
    <t>Bs</t>
  </si>
  <si>
    <t>CANCELADO</t>
  </si>
  <si>
    <t>TASA</t>
  </si>
  <si>
    <t>SALDO CAPITAL</t>
  </si>
  <si>
    <t>15-30-SEMANAL</t>
  </si>
  <si>
    <t>FECHAS/PAGOS</t>
  </si>
  <si>
    <t>BS</t>
  </si>
  <si>
    <t>Zelle $</t>
  </si>
  <si>
    <t>KIKI</t>
  </si>
  <si>
    <t>CONDOMINIO</t>
  </si>
  <si>
    <t>MEGAFIBRA</t>
  </si>
  <si>
    <t>YHAMIL GOMEZ PADRE INTERESES</t>
  </si>
  <si>
    <t>PAGO SENIAT (IVA)</t>
  </si>
  <si>
    <t>JUGO YUKERY</t>
  </si>
  <si>
    <t xml:space="preserve">LIBRETA </t>
  </si>
  <si>
    <t>MAYONESA MAVESA</t>
  </si>
  <si>
    <t>VERDURAS</t>
  </si>
  <si>
    <t>CIGARRO IBIZA</t>
  </si>
  <si>
    <t>MOPA LIMPIEZA</t>
  </si>
  <si>
    <t>DULCE LECHOSA</t>
  </si>
  <si>
    <t>QUESO BLANCO</t>
  </si>
  <si>
    <t>DESINFECTANTE</t>
  </si>
  <si>
    <t>VERDURSA PARA PASTA</t>
  </si>
  <si>
    <t>REFRESCOS</t>
  </si>
  <si>
    <t>ROLLO ETIQUETAS</t>
  </si>
  <si>
    <t>ATUNES</t>
  </si>
  <si>
    <t>COCACOLA</t>
  </si>
  <si>
    <t>ACE</t>
  </si>
  <si>
    <t>PAPEL TOILET</t>
  </si>
  <si>
    <t>ACEITE</t>
  </si>
  <si>
    <t>CAFÉ</t>
  </si>
  <si>
    <t>MANTEQUILLA</t>
  </si>
  <si>
    <t>CARNE (LA VICTORIA)</t>
  </si>
  <si>
    <t>PASTICHO (TROPIC)</t>
  </si>
  <si>
    <t>CANTV (APARTMENTO YHAMIL)</t>
  </si>
  <si>
    <t>COMPENSACIÓN</t>
  </si>
  <si>
    <t>ELTON ULTIMO</t>
  </si>
  <si>
    <t>ELTON QUINCENAL</t>
  </si>
  <si>
    <t>PAGO ATRASADO DE ALQUILER</t>
  </si>
  <si>
    <t>TOTAL ABONOS</t>
  </si>
  <si>
    <t>DESCRIPCIÓN</t>
  </si>
  <si>
    <t>GASTO</t>
  </si>
  <si>
    <t>FIJO</t>
  </si>
  <si>
    <t xml:space="preserve">ALQUILER LOCAL </t>
  </si>
  <si>
    <t>SERVICIO (Actividad economica)</t>
  </si>
  <si>
    <t>CONTADORES</t>
  </si>
  <si>
    <t>EVENTUALES</t>
  </si>
  <si>
    <t>TOTAL</t>
  </si>
  <si>
    <t>EVENTUAL</t>
  </si>
  <si>
    <t>Cantv de yhamil</t>
  </si>
  <si>
    <t>copias de llaves</t>
  </si>
  <si>
    <t>fijo</t>
  </si>
  <si>
    <t>Adelanto chuchi (inter)</t>
  </si>
  <si>
    <t>CAPITAL BRUTO</t>
  </si>
  <si>
    <t>CAPITAL NETO</t>
  </si>
  <si>
    <t>BOMBA DE ACEITE</t>
  </si>
  <si>
    <t>COMISION DEL 3%</t>
  </si>
  <si>
    <t>COMISION DEL 10%</t>
  </si>
  <si>
    <t>GASTOS FIJO</t>
  </si>
  <si>
    <t>PAGOS DE IVA ATRASADO</t>
  </si>
  <si>
    <t>Comisiones</t>
  </si>
  <si>
    <t xml:space="preserve">Liquidacion carlos </t>
  </si>
  <si>
    <t>M&amp;T inveriones</t>
  </si>
  <si>
    <t>Caucho y tripa de moto</t>
  </si>
  <si>
    <t>pago cantv</t>
  </si>
  <si>
    <t>Condominio  de Yhamil (Enero)</t>
  </si>
  <si>
    <t>Telefono de yhamil</t>
  </si>
  <si>
    <t xml:space="preserve">Honorarios de impuesto sobre la renta </t>
  </si>
  <si>
    <t>contadores mes y islr</t>
  </si>
  <si>
    <t>alquiler local</t>
  </si>
  <si>
    <t>Joel castellano</t>
  </si>
  <si>
    <t>Retirado para yhamil</t>
  </si>
  <si>
    <t>VENCIMIENTO</t>
  </si>
  <si>
    <t>cegaC</t>
  </si>
  <si>
    <t>soldven</t>
  </si>
  <si>
    <t>century</t>
  </si>
  <si>
    <t>PLATO</t>
  </si>
  <si>
    <t>Junior guevara</t>
  </si>
  <si>
    <t>Quincena</t>
  </si>
  <si>
    <t>Mensual + comision</t>
  </si>
  <si>
    <t>DOÑA</t>
  </si>
  <si>
    <t>Decripción</t>
  </si>
  <si>
    <t>Día</t>
  </si>
  <si>
    <t>Promedio</t>
  </si>
  <si>
    <t>Ventas</t>
  </si>
  <si>
    <t>Eventuales</t>
  </si>
  <si>
    <t>Proyección</t>
  </si>
  <si>
    <t>Dia</t>
  </si>
  <si>
    <t>Graficos</t>
  </si>
  <si>
    <t>Pendiente</t>
  </si>
  <si>
    <t>PAGADO</t>
  </si>
  <si>
    <t>Nómina quincenal</t>
  </si>
  <si>
    <t>Vifa Electronics</t>
  </si>
  <si>
    <t>Marzo</t>
  </si>
  <si>
    <t>Enero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</si>
  <si>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</si>
  <si>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</si>
  <si>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</si>
  <si>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</si>
  <si>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</si>
  <si>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</si>
  <si>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</si>
  <si>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</si>
  <si>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</si>
  <si>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</si>
  <si>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ToyoMayor</t>
  </si>
  <si>
    <t>nomina ultimo</t>
  </si>
  <si>
    <t>Bs efecitivo</t>
  </si>
  <si>
    <t>Pago Movil</t>
  </si>
  <si>
    <t>punto</t>
  </si>
  <si>
    <t>agua</t>
  </si>
  <si>
    <t>publicidad</t>
  </si>
  <si>
    <t>Gabriela Spacabento</t>
  </si>
  <si>
    <t>Entregado a Yhamil</t>
  </si>
  <si>
    <t>Alquiler local</t>
  </si>
  <si>
    <t>cantv</t>
  </si>
  <si>
    <t>pago de viveres a la zona</t>
  </si>
  <si>
    <t>prestamo a replay</t>
  </si>
  <si>
    <t xml:space="preserve">detergente </t>
  </si>
  <si>
    <t>motomastro</t>
  </si>
  <si>
    <t>inversiones gomas y bases</t>
  </si>
  <si>
    <t>renovacion patentes</t>
  </si>
  <si>
    <t>contadores</t>
  </si>
  <si>
    <t>actividad economica</t>
  </si>
  <si>
    <t>JUEGO DE PISTONES 040 COROLLA 1,8</t>
  </si>
  <si>
    <t>SENSOR TPS HILUX</t>
  </si>
  <si>
    <t>Pago Gato publicidad</t>
  </si>
  <si>
    <t>intereses señor yhamil</t>
  </si>
  <si>
    <t>Alquiler</t>
  </si>
  <si>
    <t xml:space="preserve">Junquicars </t>
  </si>
  <si>
    <t>Medina Motors</t>
  </si>
  <si>
    <t>Prestamo a Harley</t>
  </si>
  <si>
    <t>Rengifo</t>
  </si>
  <si>
    <t xml:space="preserve">pagado por consumo de yhamil </t>
  </si>
  <si>
    <t>aceite para vehículo de Yhamil</t>
  </si>
  <si>
    <t>enviado a la doña</t>
  </si>
  <si>
    <t>Dolares</t>
  </si>
  <si>
    <t>Entregado a Yhamil para el Jeep</t>
  </si>
  <si>
    <t>Para Doña Por alquiler retrasado</t>
  </si>
  <si>
    <t>adelanto para elton</t>
  </si>
  <si>
    <t>sevicio para la moto</t>
  </si>
  <si>
    <t>agua para el local</t>
  </si>
  <si>
    <t>entrgado a yhamil</t>
  </si>
  <si>
    <t xml:space="preserve">  </t>
  </si>
  <si>
    <t>iva atrasado</t>
  </si>
  <si>
    <t>Nomina ultimo</t>
  </si>
  <si>
    <t xml:space="preserve">KIKI            20%  </t>
  </si>
  <si>
    <t>RETIRADO</t>
  </si>
  <si>
    <t>RETIRADOS</t>
  </si>
  <si>
    <t>RAFAEL      10%</t>
  </si>
  <si>
    <t>RAFAEL</t>
  </si>
  <si>
    <t>DOÑA        20%</t>
  </si>
  <si>
    <t>MONTO TOTAL EN DOLARES</t>
  </si>
  <si>
    <t>ADM          12%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</si>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</sst>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Bs.S&quot;* #,##0.00_ ;_ &quot;Bs.S&quot;* \-#,##0.00_ ;_ &quot;Bs.S&quot;* &quot;-&quot;??_ ;_ @_ "/>
    <numFmt numFmtId="165" formatCode="_ &quot;$&quot;* #,##0_ ;_ &quot;$&quot;* \-#,##0_ ;_ &quot;$&quot;* &quot;-&quot;_ ;_ @_ "/>
    <numFmt numFmtId="166" formatCode="_-[$$-409]* #,##0.00_ ;_-[$$-409]* \-#,##0.00\ ;_-[$$-409]* &quot;-&quot;??_ ;_-@_ "/>
    <numFmt numFmtId="167" formatCode="_-[$$-2C0A]\ * #,##0.00_-;\-[$$-2C0A]\ * #,##0.00_-;_-[$$-2C0A]\ * &quot;-&quot;??_-;_-@_-"/>
    <numFmt numFmtId="168" formatCode="_ &quot;$&quot;* #,##0.00_ ;_ &quot;$&quot;* \-#,##0.00_ ;_ &quot;$&quot;* &quot;-&quot;_ ;_ @_ "/>
    <numFmt numFmtId="169" formatCode="0.000"/>
    <numFmt numFmtId="170" formatCode="_-[$$-45C]* #,##0.00_-;\-[$$-45C]* #,##0.00_-;_-[$$-45C]* &quot;-&quot;??_-;_-@_-"/>
    <numFmt numFmtId="171" formatCode="&quot;Bs.S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145">
    <xf numFmtId="0" fontId="0" fillId="0" borderId="0" xfId="0"/>
    <xf numFmtId="166" fontId="0" fillId="0" borderId="1" xfId="0" applyNumberFormat="1" applyBorder="1"/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3" fillId="0" borderId="0" xfId="0" applyFont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0" fillId="6" borderId="0" xfId="0" applyFill="1" applyProtection="1">
      <protection locked="0"/>
    </xf>
    <xf numFmtId="0" fontId="3" fillId="6" borderId="0" xfId="0" applyFont="1" applyFill="1"/>
    <xf numFmtId="0" fontId="7" fillId="0" borderId="0" xfId="0" applyFont="1" applyAlignment="1">
      <alignment horizontal="center"/>
    </xf>
    <xf numFmtId="166" fontId="3" fillId="0" borderId="1" xfId="0" applyNumberFormat="1" applyFont="1" applyBorder="1"/>
    <xf numFmtId="166" fontId="3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168" fontId="3" fillId="0" borderId="6" xfId="1" applyNumberFormat="1" applyFont="1" applyBorder="1"/>
    <xf numFmtId="0" fontId="3" fillId="0" borderId="7" xfId="0" applyFont="1" applyBorder="1"/>
    <xf numFmtId="0" fontId="3" fillId="0" borderId="8" xfId="0" applyFont="1" applyBorder="1"/>
    <xf numFmtId="168" fontId="3" fillId="0" borderId="9" xfId="1" applyNumberFormat="1" applyFont="1" applyBorder="1"/>
    <xf numFmtId="0" fontId="8" fillId="0" borderId="0" xfId="0" applyFont="1"/>
    <xf numFmtId="167" fontId="8" fillId="0" borderId="0" xfId="0" applyNumberFormat="1" applyFont="1"/>
    <xf numFmtId="0" fontId="3" fillId="6" borderId="1" xfId="0" applyFont="1" applyFill="1" applyBorder="1" applyAlignment="1">
      <alignment horizontal="center"/>
    </xf>
    <xf numFmtId="168" fontId="3" fillId="6" borderId="1" xfId="1" applyNumberFormat="1" applyFont="1" applyFill="1" applyBorder="1" applyAlignment="1">
      <alignment horizontal="center"/>
    </xf>
    <xf numFmtId="0" fontId="3" fillId="6" borderId="0" xfId="0" applyFont="1" applyFill="1" applyAlignment="1">
      <alignment horizontal="left" vertical="center"/>
    </xf>
    <xf numFmtId="168" fontId="3" fillId="6" borderId="0" xfId="1" applyNumberFormat="1" applyFont="1" applyFill="1" applyBorder="1" applyAlignment="1">
      <alignment horizontal="center" vertical="center"/>
    </xf>
    <xf numFmtId="165" fontId="3" fillId="6" borderId="0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4" fontId="3" fillId="6" borderId="6" xfId="0" applyNumberFormat="1" applyFont="1" applyFill="1" applyBorder="1" applyAlignment="1">
      <alignment horizontal="center"/>
    </xf>
    <xf numFmtId="0" fontId="0" fillId="6" borderId="0" xfId="0" applyFill="1" applyAlignment="1" applyProtection="1">
      <alignment horizontal="left" vertical="top"/>
      <protection locked="0"/>
    </xf>
    <xf numFmtId="166" fontId="0" fillId="6" borderId="0" xfId="0" applyNumberFormat="1" applyFill="1"/>
    <xf numFmtId="2" fontId="0" fillId="6" borderId="0" xfId="0" applyNumberFormat="1" applyFill="1"/>
    <xf numFmtId="0" fontId="3" fillId="3" borderId="1" xfId="0" applyFont="1" applyFill="1" applyBorder="1"/>
    <xf numFmtId="166" fontId="0" fillId="6" borderId="1" xfId="0" applyNumberFormat="1" applyFill="1" applyBorder="1" applyProtection="1">
      <protection locked="0"/>
    </xf>
    <xf numFmtId="168" fontId="0" fillId="0" borderId="1" xfId="1" applyNumberFormat="1" applyFont="1" applyBorder="1"/>
    <xf numFmtId="168" fontId="3" fillId="0" borderId="0" xfId="1" applyNumberFormat="1" applyFont="1" applyBorder="1"/>
    <xf numFmtId="0" fontId="8" fillId="0" borderId="1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8" fontId="8" fillId="0" borderId="1" xfId="1" applyNumberFormat="1" applyFont="1" applyFill="1" applyBorder="1" applyAlignment="1">
      <alignment horizontal="center" vertical="center"/>
    </xf>
    <xf numFmtId="168" fontId="8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6" xfId="1" applyNumberFormat="1" applyFont="1" applyBorder="1"/>
    <xf numFmtId="0" fontId="0" fillId="4" borderId="1" xfId="0" applyFill="1" applyBorder="1" applyAlignment="1" applyProtection="1">
      <alignment horizontal="center"/>
      <protection locked="0"/>
    </xf>
    <xf numFmtId="0" fontId="0" fillId="6" borderId="1" xfId="0" applyFill="1" applyBorder="1" applyProtection="1">
      <protection locked="0"/>
    </xf>
    <xf numFmtId="0" fontId="3" fillId="5" borderId="7" xfId="0" applyFont="1" applyFill="1" applyBorder="1" applyAlignment="1">
      <alignment horizontal="center" vertical="center"/>
    </xf>
    <xf numFmtId="166" fontId="0" fillId="0" borderId="0" xfId="0" applyNumberFormat="1"/>
    <xf numFmtId="166" fontId="0" fillId="0" borderId="6" xfId="0" applyNumberFormat="1" applyBorder="1"/>
    <xf numFmtId="167" fontId="0" fillId="6" borderId="1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  <xf numFmtId="166" fontId="0" fillId="0" borderId="0" xfId="0" applyNumberFormat="1" applyProtection="1">
      <protection locked="0"/>
    </xf>
    <xf numFmtId="170" fontId="0" fillId="0" borderId="1" xfId="0" applyNumberFormat="1" applyBorder="1"/>
    <xf numFmtId="170" fontId="0" fillId="0" borderId="1" xfId="1" applyNumberFormat="1" applyFont="1" applyBorder="1" applyProtection="1">
      <protection locked="0"/>
    </xf>
    <xf numFmtId="14" fontId="8" fillId="0" borderId="0" xfId="0" applyNumberFormat="1" applyFont="1"/>
    <xf numFmtId="2" fontId="8" fillId="0" borderId="3" xfId="0" applyNumberFormat="1" applyFont="1" applyBorder="1" applyAlignment="1">
      <alignment horizontal="center" vertical="center"/>
    </xf>
    <xf numFmtId="168" fontId="8" fillId="0" borderId="3" xfId="1" applyNumberFormat="1" applyFont="1" applyFill="1" applyBorder="1" applyAlignment="1">
      <alignment horizontal="center" vertical="center"/>
    </xf>
    <xf numFmtId="168" fontId="8" fillId="0" borderId="3" xfId="1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/>
    <xf numFmtId="0" fontId="0" fillId="8" borderId="1" xfId="0" applyFill="1" applyBorder="1" applyProtection="1">
      <protection locked="0"/>
    </xf>
    <xf numFmtId="0" fontId="9" fillId="0" borderId="3" xfId="0" applyFont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8" fontId="3" fillId="6" borderId="8" xfId="1" applyNumberFormat="1" applyFont="1" applyFill="1" applyBorder="1" applyAlignment="1">
      <alignment horizontal="center"/>
    </xf>
    <xf numFmtId="14" fontId="3" fillId="6" borderId="0" xfId="0" applyNumberFormat="1" applyFont="1" applyFill="1"/>
    <xf numFmtId="14" fontId="3" fillId="6" borderId="9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  <protection locked="0"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locked="0" hidden="1"/>
    </xf>
    <xf numFmtId="14" fontId="0" fillId="0" borderId="7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69" fontId="8" fillId="0" borderId="4" xfId="0" applyNumberFormat="1" applyFont="1" applyBorder="1" applyAlignment="1">
      <alignment horizontal="center"/>
    </xf>
    <xf numFmtId="2" fontId="10" fillId="0" borderId="8" xfId="0" applyNumberFormat="1" applyFont="1" applyBorder="1" applyProtection="1">
      <protection hidden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1" fontId="0" fillId="0" borderId="1" xfId="0" applyNumberFormat="1" applyBorder="1"/>
    <xf numFmtId="0" fontId="0" fillId="6" borderId="1" xfId="0" applyFill="1" applyBorder="1" applyAlignment="1" applyProtection="1">
      <alignment horizontal="center" vertical="center"/>
      <protection locked="0"/>
    </xf>
    <xf numFmtId="2" fontId="0" fillId="6" borderId="1" xfId="0" applyNumberForma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shrinkToFit="1"/>
    </xf>
    <xf numFmtId="0" fontId="3" fillId="6" borderId="8" xfId="0" applyFont="1" applyFill="1" applyBorder="1" applyAlignment="1">
      <alignment horizontal="center" shrinkToFit="1"/>
    </xf>
    <xf numFmtId="0" fontId="3" fillId="5" borderId="5" xfId="0" applyFont="1" applyFill="1" applyBorder="1" applyAlignment="1">
      <alignment horizontal="center" vertical="center" shrinkToFit="1"/>
    </xf>
    <xf numFmtId="0" fontId="3" fillId="5" borderId="7" xfId="0" applyFont="1" applyFill="1" applyBorder="1" applyAlignment="1">
      <alignment horizontal="center" vertical="center" shrinkToFit="1"/>
    </xf>
    <xf numFmtId="14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168" fontId="3" fillId="0" borderId="1" xfId="1" applyNumberFormat="1" applyFont="1" applyBorder="1" applyAlignment="1">
      <alignment vertical="center" shrinkToFit="1"/>
    </xf>
    <xf numFmtId="165" fontId="3" fillId="0" borderId="1" xfId="1" applyFont="1" applyBorder="1" applyAlignment="1">
      <alignment vertical="center" shrinkToFit="1"/>
    </xf>
    <xf numFmtId="168" fontId="3" fillId="7" borderId="6" xfId="1" applyNumberFormat="1" applyFont="1" applyFill="1" applyBorder="1" applyAlignment="1">
      <alignment vertical="center" shrinkToFit="1"/>
    </xf>
    <xf numFmtId="14" fontId="3" fillId="6" borderId="1" xfId="0" applyNumberFormat="1" applyFont="1" applyFill="1" applyBorder="1" applyAlignment="1">
      <alignment vertical="center" shrinkToFit="1"/>
    </xf>
    <xf numFmtId="0" fontId="3" fillId="6" borderId="1" xfId="0" applyFont="1" applyFill="1" applyBorder="1" applyAlignment="1">
      <alignment vertical="center" shrinkToFit="1"/>
    </xf>
    <xf numFmtId="168" fontId="3" fillId="6" borderId="1" xfId="1" applyNumberFormat="1" applyFont="1" applyFill="1" applyBorder="1" applyAlignment="1">
      <alignment vertical="center" shrinkToFit="1"/>
    </xf>
    <xf numFmtId="165" fontId="3" fillId="6" borderId="1" xfId="1" applyFont="1" applyFill="1" applyBorder="1" applyAlignment="1">
      <alignment vertical="center" shrinkToFit="1"/>
    </xf>
    <xf numFmtId="168" fontId="3" fillId="7" borderId="6" xfId="0" applyNumberFormat="1" applyFont="1" applyFill="1" applyBorder="1" applyAlignment="1">
      <alignment vertical="center" shrinkToFit="1"/>
    </xf>
    <xf numFmtId="14" fontId="3" fillId="6" borderId="8" xfId="0" applyNumberFormat="1" applyFont="1" applyFill="1" applyBorder="1" applyAlignment="1">
      <alignment vertical="center" shrinkToFit="1"/>
    </xf>
    <xf numFmtId="0" fontId="3" fillId="6" borderId="8" xfId="0" applyFont="1" applyFill="1" applyBorder="1" applyAlignment="1">
      <alignment vertical="center" shrinkToFit="1"/>
    </xf>
    <xf numFmtId="168" fontId="3" fillId="6" borderId="8" xfId="1" applyNumberFormat="1" applyFont="1" applyFill="1" applyBorder="1" applyAlignment="1">
      <alignment vertical="center" shrinkToFit="1"/>
    </xf>
    <xf numFmtId="165" fontId="3" fillId="6" borderId="8" xfId="1" applyFont="1" applyFill="1" applyBorder="1" applyAlignment="1">
      <alignment vertical="center" shrinkToFit="1"/>
    </xf>
    <xf numFmtId="168" fontId="3" fillId="7" borderId="9" xfId="0" applyNumberFormat="1" applyFont="1" applyFill="1" applyBorder="1" applyAlignment="1">
      <alignment vertical="center" shrinkToFit="1"/>
    </xf>
    <xf numFmtId="14" fontId="3" fillId="0" borderId="8" xfId="0" applyNumberFormat="1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168" fontId="3" fillId="0" borderId="8" xfId="1" applyNumberFormat="1" applyFont="1" applyBorder="1" applyAlignment="1">
      <alignment vertical="center" shrinkToFit="1"/>
    </xf>
    <xf numFmtId="165" fontId="3" fillId="0" borderId="8" xfId="1" applyFont="1" applyBorder="1" applyAlignment="1">
      <alignment vertical="center" shrinkToFit="1"/>
    </xf>
    <xf numFmtId="168" fontId="3" fillId="7" borderId="9" xfId="1" applyNumberFormat="1" applyFont="1" applyFill="1" applyBorder="1" applyAlignment="1">
      <alignment vertical="center" shrinkToFit="1"/>
    </xf>
    <xf numFmtId="170" fontId="0" fillId="0" borderId="0" xfId="0" applyNumberFormat="1"/>
    <xf numFmtId="170" fontId="0" fillId="0" borderId="0" xfId="0" applyNumberFormat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169" fontId="0" fillId="6" borderId="6" xfId="0" applyNumberFormat="1" applyFill="1" applyBorder="1" applyAlignment="1" applyProtection="1">
      <alignment horizontal="center"/>
      <protection locked="0"/>
    </xf>
    <xf numFmtId="169" fontId="0" fillId="6" borderId="5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</cellXfs>
  <cellStyles count="2">
    <cellStyle name="Moneda [0]" xfId="1" builtinId="7"/>
    <cellStyle name="Normal" xfId="0" builtinId="0"/>
  </cellStyles>
  <dxfs count="84">
    <dxf>
      <font>
        <b val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numFmt numFmtId="172" formatCode="d/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8" formatCode="_ &quot;$&quot;* #,##0.00_ ;_ &quot;$&quot;* \-#,##0.00_ ;_ &quot;$&quot;* &quot;-&quot;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8" formatCode="_ &quot;$&quot;* #,##0.00_ ;_ &quot;$&quot;* \-#,##0.00_ ;_ &quot;$&quot;* &quot;-&quot;_ ;_ @_ "/>
      <fill>
        <patternFill>
          <fgColor indexed="64"/>
          <bgColor theme="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8" formatCode="_ &quot;$&quot;* #,##0.00_ ;_ &quot;$&quot;* \-#,##0.00_ ;_ &quot;$&quot;* &quot;-&quot;_ ;_ @_ 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1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72" formatCode="d/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8" formatCode="_ &quot;$&quot;* #,##0.00_ ;_ &quot;$&quot;* \-#,##0.00_ ;_ &quot;$&quot;* &quot;-&quot;_ ;_ @_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 &quot;Bs.S&quot;* #,##0.00_ ;_ &quot;Bs.S&quot;* \-#,##0.00_ ;_ &quot;Bs.S&quot;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$&quot;* #,##0.00_ ;_ &quot;$&quot;* \-#,##0.00_ ;_ &quot;$&quot;* &quot;-&quot;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$&quot;* #,##0.00_ ;_ &quot;$&quot;* \-#,##0.00_ ;_ &quot;$&quot;* &quot;-&quot;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 &quot;Bs.S&quot;* #,##0.00_ ;_ &quot;Bs.S&quot;* \-#,##0.00_ ;_ &quot;Bs.S&quot;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$&quot;* #,##0.00_ ;_ &quot;$&quot;* \-#,##0.0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2" formatCode="d/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4506668294322"/>
        </patternFill>
      </fill>
    </dxf>
  </dxfs>
  <tableStyles count="2" defaultTableStyle="TableStyleMedium2" defaultPivotStyle="PivotStyleLight16">
    <tableStyle name="Estilo de tabla 1" pivot="0" count="1" xr9:uid="{1C9298A7-03B7-4995-B5DF-1270F201DCFF}">
      <tableStyleElement type="secondRowStripe" dxfId="83"/>
    </tableStyle>
    <tableStyle name="Invisible" pivot="0" table="0" count="0" xr9:uid="{33665800-E410-4BF1-9A42-250435D509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3000">
                  <a:schemeClr val="accent1">
                    <a:lumMod val="45000"/>
                    <a:lumOff val="55000"/>
                  </a:schemeClr>
                </a:gs>
                <a:gs pos="71000">
                  <a:schemeClr val="accent1">
                    <a:lumMod val="60000"/>
                    <a:lumOff val="40000"/>
                  </a:schemeClr>
                </a:gs>
                <a:gs pos="89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Resumen!$E$16:$E$27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Resumen!$F$16:$F$27</c:f>
              <c:numCache>
                <c:formatCode>0.00</c:formatCode>
                <c:ptCount val="12"/>
                <c:pt idx="0">
                  <c:v>2689.1656383391728</c:v>
                </c:pt>
                <c:pt idx="1">
                  <c:v>0</c:v>
                </c:pt>
                <c:pt idx="2">
                  <c:v>2185.6882511765989</c:v>
                </c:pt>
                <c:pt idx="3">
                  <c:v>2852.3156865407154</c:v>
                </c:pt>
                <c:pt idx="4">
                  <c:v>2835.2154473047349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5-4915-B714-E6261B5D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overlap val="-27"/>
        <c:axId val="517993056"/>
        <c:axId val="472895312"/>
      </c:barChart>
      <c:catAx>
        <c:axId val="5179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72895312"/>
        <c:crosses val="autoZero"/>
        <c:auto val="1"/>
        <c:lblAlgn val="ctr"/>
        <c:lblOffset val="100"/>
        <c:noMultiLvlLbl val="0"/>
      </c:catAx>
      <c:valAx>
        <c:axId val="4728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1799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1904</xdr:rowOff>
    </xdr:from>
    <xdr:to>
      <xdr:col>2</xdr:col>
      <xdr:colOff>577427</xdr:colOff>
      <xdr:row>4</xdr:row>
      <xdr:rowOff>175259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560704"/>
          <a:ext cx="2346960" cy="359622"/>
        </a:xfrm>
        <a:prstGeom prst="roundRect">
          <a:avLst/>
        </a:prstGeom>
        <a:solidFill>
          <a:schemeClr val="accent3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200" b="0"/>
            <a:t>Resumen</a:t>
          </a:r>
        </a:p>
      </xdr:txBody>
    </xdr:sp>
    <xdr:clientData/>
  </xdr:twoCellAnchor>
  <xdr:twoCellAnchor>
    <xdr:from>
      <xdr:col>4</xdr:col>
      <xdr:colOff>113453</xdr:colOff>
      <xdr:row>2</xdr:row>
      <xdr:rowOff>180552</xdr:rowOff>
    </xdr:from>
    <xdr:to>
      <xdr:col>5</xdr:col>
      <xdr:colOff>848358</xdr:colOff>
      <xdr:row>5</xdr:row>
      <xdr:rowOff>13335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786" y="553085"/>
          <a:ext cx="1691639" cy="3915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200" b="0"/>
            <a:t>Comisiones</a:t>
          </a:r>
          <a:endParaRPr lang="es-VE" sz="1100" b="0"/>
        </a:p>
      </xdr:txBody>
    </xdr:sp>
    <xdr:clientData/>
  </xdr:twoCellAnchor>
  <xdr:twoCellAnchor>
    <xdr:from>
      <xdr:col>14</xdr:col>
      <xdr:colOff>171874</xdr:colOff>
      <xdr:row>2</xdr:row>
      <xdr:rowOff>125519</xdr:rowOff>
    </xdr:from>
    <xdr:to>
      <xdr:col>17</xdr:col>
      <xdr:colOff>585894</xdr:colOff>
      <xdr:row>4</xdr:row>
      <xdr:rowOff>125519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450407" y="498052"/>
          <a:ext cx="2979420" cy="37253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 b="0"/>
            <a:t>Sueldos más</a:t>
          </a:r>
          <a:r>
            <a:rPr lang="es-VE" sz="1100" b="0" baseline="0"/>
            <a:t> comisiones</a:t>
          </a:r>
          <a:endParaRPr lang="es-VE" sz="1100" b="0"/>
        </a:p>
      </xdr:txBody>
    </xdr:sp>
    <xdr:clientData/>
  </xdr:twoCellAnchor>
  <xdr:twoCellAnchor>
    <xdr:from>
      <xdr:col>7</xdr:col>
      <xdr:colOff>155151</xdr:colOff>
      <xdr:row>3</xdr:row>
      <xdr:rowOff>2540</xdr:rowOff>
    </xdr:from>
    <xdr:to>
      <xdr:col>9</xdr:col>
      <xdr:colOff>72814</xdr:colOff>
      <xdr:row>4</xdr:row>
      <xdr:rowOff>183515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36751" y="561340"/>
          <a:ext cx="1560196" cy="367242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200" b="0"/>
            <a:t>Foraneos</a:t>
          </a:r>
        </a:p>
      </xdr:txBody>
    </xdr:sp>
    <xdr:clientData/>
  </xdr:twoCellAnchor>
  <xdr:twoCellAnchor>
    <xdr:from>
      <xdr:col>10</xdr:col>
      <xdr:colOff>160867</xdr:colOff>
      <xdr:row>2</xdr:row>
      <xdr:rowOff>162560</xdr:rowOff>
    </xdr:from>
    <xdr:to>
      <xdr:col>12</xdr:col>
      <xdr:colOff>666327</xdr:colOff>
      <xdr:row>5</xdr:row>
      <xdr:rowOff>8255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B6DF6EA5-3A44-4AAB-8D03-6A10A5EDBD2E}"/>
            </a:ext>
          </a:extLst>
        </xdr:cNvPr>
        <xdr:cNvSpPr/>
      </xdr:nvSpPr>
      <xdr:spPr>
        <a:xfrm>
          <a:off x="7289800" y="535093"/>
          <a:ext cx="2080260" cy="404495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200" b="0">
              <a:solidFill>
                <a:schemeClr val="bg1"/>
              </a:solidFill>
            </a:rPr>
            <a:t>Analisis Mensual</a:t>
          </a:r>
        </a:p>
      </xdr:txBody>
    </xdr:sp>
    <xdr:clientData/>
  </xdr:twoCellAnchor>
  <xdr:twoCellAnchor>
    <xdr:from>
      <xdr:col>7</xdr:col>
      <xdr:colOff>109855</xdr:colOff>
      <xdr:row>15</xdr:row>
      <xdr:rowOff>19473</xdr:rowOff>
    </xdr:from>
    <xdr:to>
      <xdr:col>15</xdr:col>
      <xdr:colOff>52706</xdr:colOff>
      <xdr:row>30</xdr:row>
      <xdr:rowOff>26881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BC9A915-30F2-4368-A3C4-634949C4C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12</xdr:row>
      <xdr:rowOff>32385</xdr:rowOff>
    </xdr:from>
    <xdr:to>
      <xdr:col>9</xdr:col>
      <xdr:colOff>63500</xdr:colOff>
      <xdr:row>14</xdr:row>
      <xdr:rowOff>32386</xdr:rowOff>
    </xdr:to>
    <xdr:sp macro="" textlink="">
      <xdr:nvSpPr>
        <xdr:cNvPr id="9" name="Rectángulo redondeado 3">
          <a:extLst>
            <a:ext uri="{FF2B5EF4-FFF2-40B4-BE49-F238E27FC236}">
              <a16:creationId xmlns:a16="http://schemas.microsoft.com/office/drawing/2014/main" id="{C0C32FDF-04F1-4BA2-A8F2-90443B8076F5}"/>
            </a:ext>
          </a:extLst>
        </xdr:cNvPr>
        <xdr:cNvSpPr/>
      </xdr:nvSpPr>
      <xdr:spPr>
        <a:xfrm>
          <a:off x="5295900" y="2267585"/>
          <a:ext cx="1591733" cy="37253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 b="0"/>
            <a:t>Grafica</a:t>
          </a:r>
          <a:r>
            <a:rPr lang="es-VE" sz="1100" b="0" baseline="0"/>
            <a:t> mensual</a:t>
          </a:r>
          <a:endParaRPr lang="es-VE" sz="1100" b="0"/>
        </a:p>
      </xdr:txBody>
    </xdr:sp>
    <xdr:clientData/>
  </xdr:twoCellAnchor>
  <xdr:twoCellAnchor>
    <xdr:from>
      <xdr:col>17</xdr:col>
      <xdr:colOff>717127</xdr:colOff>
      <xdr:row>13</xdr:row>
      <xdr:rowOff>84878</xdr:rowOff>
    </xdr:from>
    <xdr:to>
      <xdr:col>19</xdr:col>
      <xdr:colOff>607060</xdr:colOff>
      <xdr:row>15</xdr:row>
      <xdr:rowOff>84879</xdr:rowOff>
    </xdr:to>
    <xdr:sp macro="" textlink="">
      <xdr:nvSpPr>
        <xdr:cNvPr id="10" name="Rectángulo redondeado 3">
          <a:extLst>
            <a:ext uri="{FF2B5EF4-FFF2-40B4-BE49-F238E27FC236}">
              <a16:creationId xmlns:a16="http://schemas.microsoft.com/office/drawing/2014/main" id="{DC85DFBD-88FF-46FF-917C-DD2F5B25C08D}"/>
            </a:ext>
          </a:extLst>
        </xdr:cNvPr>
        <xdr:cNvSpPr/>
      </xdr:nvSpPr>
      <xdr:spPr>
        <a:xfrm>
          <a:off x="13561060" y="2506345"/>
          <a:ext cx="1591733" cy="37253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 b="0"/>
            <a:t>Totales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561974</xdr:colOff>
      <xdr:row>1</xdr:row>
      <xdr:rowOff>0</xdr:rowOff>
    </xdr:from>
    <xdr:to>
      <xdr:col>8</xdr:col>
      <xdr:colOff>552450</xdr:colOff>
      <xdr:row>3</xdr:row>
      <xdr:rowOff>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86074" y="571500"/>
          <a:ext cx="2457451" cy="381000"/>
        </a:xfrm>
        <a:prstGeom prst="roundRect">
          <a:avLst/>
        </a:prstGeom>
        <a:solidFill>
          <a:schemeClr val="accent3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400" b="1"/>
            <a:t>Ventas diarias</a:t>
          </a:r>
        </a:p>
        <a:p>
          <a:pPr algn="ctr"/>
          <a:endParaRPr lang="es-VE" sz="1400" b="1"/>
        </a:p>
      </xdr:txBody>
    </xdr:sp>
    <xdr:clientData/>
  </xdr:twoCellAnchor>
  <xdr:twoCellAnchor>
    <xdr:from>
      <xdr:col>18</xdr:col>
      <xdr:colOff>0</xdr:colOff>
      <xdr:row>0</xdr:row>
      <xdr:rowOff>190499</xdr:rowOff>
    </xdr:from>
    <xdr:to>
      <xdr:col>18</xdr:col>
      <xdr:colOff>0</xdr:colOff>
      <xdr:row>3</xdr:row>
      <xdr:rowOff>9524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4A531DF-FEAB-F453-2AB3-7B33076C25DB}"/>
            </a:ext>
          </a:extLst>
        </xdr:cNvPr>
        <xdr:cNvSpPr/>
      </xdr:nvSpPr>
      <xdr:spPr>
        <a:xfrm>
          <a:off x="7677151" y="190499"/>
          <a:ext cx="2066924" cy="390525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200" b="1"/>
            <a:t>ACARREO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142876</xdr:rowOff>
    </xdr:from>
    <xdr:to>
      <xdr:col>0</xdr:col>
      <xdr:colOff>1889760</xdr:colOff>
      <xdr:row>5</xdr:row>
      <xdr:rowOff>142876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600076"/>
          <a:ext cx="1889760" cy="304800"/>
        </a:xfrm>
        <a:prstGeom prst="roundRect">
          <a:avLst/>
        </a:prstGeom>
        <a:solidFill>
          <a:schemeClr val="accent3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200" b="1"/>
            <a:t>Gastos</a:t>
          </a:r>
          <a:r>
            <a:rPr lang="es-VE" sz="1200" b="1" baseline="0"/>
            <a:t> Fijos </a:t>
          </a:r>
        </a:p>
      </xdr:txBody>
    </xdr:sp>
    <xdr:clientData/>
  </xdr:twoCellAnchor>
  <xdr:twoCellAnchor>
    <xdr:from>
      <xdr:col>4</xdr:col>
      <xdr:colOff>782954</xdr:colOff>
      <xdr:row>4</xdr:row>
      <xdr:rowOff>9525</xdr:rowOff>
    </xdr:from>
    <xdr:to>
      <xdr:col>6</xdr:col>
      <xdr:colOff>15240</xdr:colOff>
      <xdr:row>5</xdr:row>
      <xdr:rowOff>152399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40654" y="619125"/>
          <a:ext cx="2607946" cy="295274"/>
        </a:xfrm>
        <a:prstGeom prst="roundRect">
          <a:avLst/>
        </a:prstGeom>
        <a:solidFill>
          <a:schemeClr val="accent3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200" b="1"/>
            <a:t>Gastos Ejecutados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1492062</xdr:colOff>
      <xdr:row>0</xdr:row>
      <xdr:rowOff>144556</xdr:rowOff>
    </xdr:from>
    <xdr:to>
      <xdr:col>9</xdr:col>
      <xdr:colOff>990601</xdr:colOff>
      <xdr:row>3</xdr:row>
      <xdr:rowOff>47625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DDA92D8-C5F9-8AA7-6AA8-74E4FADFEE7D}"/>
            </a:ext>
          </a:extLst>
        </xdr:cNvPr>
        <xdr:cNvSpPr/>
      </xdr:nvSpPr>
      <xdr:spPr>
        <a:xfrm>
          <a:off x="3463737" y="144556"/>
          <a:ext cx="5299264" cy="36026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/>
            <a:t>Deudas,</a:t>
          </a:r>
          <a:r>
            <a:rPr lang="es-CL" sz="1400" b="1" baseline="0"/>
            <a:t> pagos y abonos</a:t>
          </a:r>
          <a:endParaRPr lang="es-CL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257174</xdr:colOff>
      <xdr:row>3</xdr:row>
      <xdr:rowOff>19051</xdr:rowOff>
    </xdr:from>
    <xdr:to>
      <xdr:col>5</xdr:col>
      <xdr:colOff>1047750</xdr:colOff>
      <xdr:row>5</xdr:row>
      <xdr:rowOff>1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619374" y="590551"/>
          <a:ext cx="2505076" cy="361950"/>
        </a:xfrm>
        <a:prstGeom prst="roundRect">
          <a:avLst/>
        </a:prstGeom>
        <a:solidFill>
          <a:schemeClr val="accent3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400" b="1"/>
            <a:t>Foraneos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diarias" displayName="ventasdiarias" ref="B5:L133" totalsRowShown="0" headerRowDxfId="82" dataDxfId="80" headerRowBorderDxfId="81" tableBorderDxfId="79" totalsRowBorderDxfId="78">
  <autoFilter ref="B5:L133" xr:uid="{00000000-0009-0000-0100-000001000000}"/>
  <sortState xmlns:xlrd2="http://schemas.microsoft.com/office/spreadsheetml/2017/richdata2" ref="B6:L133">
    <sortCondition descending="1" ref="B5:B133"/>
  </sortState>
  <tableColumns count="11">
    <tableColumn id="1" xr3:uid="{00000000-0010-0000-0000-000001000000}" name="Fecha" dataDxfId="77"/>
    <tableColumn id="9" xr3:uid="{423C7218-43A6-4F88-96A3-F15DEA4743BA}" name="Dia" dataDxfId="76">
      <calculatedColumnFormula>TEXT(ventasdiarias[[#This Row],[Fecha]],"dddd")</calculatedColumnFormula>
    </tableColumn>
    <tableColumn id="2" xr3:uid="{00000000-0010-0000-0000-000002000000}" name="Tasa" dataDxfId="75"/>
    <tableColumn id="3" xr3:uid="{00000000-0010-0000-0000-000003000000}" name="Costo $" dataDxfId="74"/>
    <tableColumn id="12" xr3:uid="{21AB49F2-92D2-47C4-BCCB-6A398F46B73D}" name="Bs efecitivo" dataDxfId="73" dataCellStyle="Moneda [0]"/>
    <tableColumn id="11" xr3:uid="{808C241F-1597-4988-B95D-63FC41D7E4C7}" name="Pago Movil" dataDxfId="72"/>
    <tableColumn id="4" xr3:uid="{00000000-0010-0000-0000-000004000000}" name="Venta $" dataDxfId="71" dataCellStyle="Moneda [0]"/>
    <tableColumn id="8" xr3:uid="{192F46A9-5385-4172-B7F7-5EC0ADB0B92F}" name="Zelle $" dataDxfId="70" dataCellStyle="Moneda [0]"/>
    <tableColumn id="5" xr3:uid="{00000000-0010-0000-0000-000005000000}" name="punto" dataDxfId="69"/>
    <tableColumn id="6" xr3:uid="{00000000-0010-0000-0000-000006000000}" name="Total" dataDxfId="68">
      <calculatedColumnFormula>ventasdiarias[[#This Row],[Venta $]]+ventasdiarias[[#This Row],[Zelle $]]+(IF(ventasdiarias[[#This Row],[Tasa]]&gt;0,(ventasdiarias[[#This Row],[punto]]+ventasdiarias[[#This Row],[Pago Movil]]+ventasdiarias[[#This Row],[Bs efecitivo]])/ventasdiarias[[#This Row],[Tasa]],"0"))</calculatedColumnFormula>
    </tableColumn>
    <tableColumn id="10" xr3:uid="{7CF697D7-32B1-4A6C-942E-0196D07BC652}" name="Graficos" dataDxfId="6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7:D24" totalsRowShown="0" headerRowDxfId="58" dataDxfId="56" headerRowBorderDxfId="57" tableBorderDxfId="55" totalsRowBorderDxfId="54">
  <autoFilter ref="A7:D24" xr:uid="{00000000-0009-0000-0100-000002000000}"/>
  <sortState xmlns:xlrd2="http://schemas.microsoft.com/office/spreadsheetml/2017/richdata2" ref="A8:D24">
    <sortCondition ref="B7:B24"/>
  </sortState>
  <tableColumns count="4">
    <tableColumn id="1" xr3:uid="{00000000-0010-0000-0100-000001000000}" name="GASTOS FIJOS " dataDxfId="53"/>
    <tableColumn id="5" xr3:uid="{89863A3A-7C22-488B-A5F4-81F653739CE7}" name="FECHAS/PAGOS" dataDxfId="52"/>
    <tableColumn id="6" xr3:uid="{D728C53B-8BB8-470B-8333-7AE1FF15B794}" name="ESTADO" dataDxfId="51"/>
    <tableColumn id="2" xr3:uid="{00000000-0010-0000-0100-000002000000}" name="MONTO" dataDxfId="50" dataCellStyle="Moneda [0]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gastoseventuales" displayName="gastoseventuales" ref="F7:L121" totalsRowShown="0" headerRowDxfId="49" dataDxfId="47" headerRowBorderDxfId="48" tableBorderDxfId="46" totalsRowBorderDxfId="45">
  <autoFilter ref="F7:L121" xr:uid="{00000000-0009-0000-0100-000004000000}"/>
  <sortState xmlns:xlrd2="http://schemas.microsoft.com/office/spreadsheetml/2017/richdata2" ref="F8:L121">
    <sortCondition descending="1" ref="G7:G121"/>
  </sortState>
  <tableColumns count="7">
    <tableColumn id="1" xr3:uid="{00000000-0010-0000-0200-000001000000}" name="DESCRIPCIÓN" dataDxfId="44"/>
    <tableColumn id="3" xr3:uid="{EE05CE89-5034-4A90-A471-3B32B48BC9D6}" name="FECHA" dataDxfId="43"/>
    <tableColumn id="7" xr3:uid="{7163C8DB-AD24-4D63-8FEE-A9706BD11EE6}" name="GASTO" dataDxfId="42"/>
    <tableColumn id="6" xr3:uid="{AE2B72C4-8593-4664-8995-10E940589F98}" name="TASA" dataDxfId="41">
      <calculatedColumnFormula>VLOOKUP(gastoseventuales[[#This Row],[FECHA]],ventasdiarias[],3,FALSE)</calculatedColumnFormula>
    </tableColumn>
    <tableColumn id="5" xr3:uid="{F08E3604-CD81-4127-8037-7C60DE2048DB}" name="BS" dataDxfId="40"/>
    <tableColumn id="4" xr3:uid="{32F637A9-D41A-44F8-9127-A4E604497CD5}" name="DOLARES" dataDxfId="39"/>
    <tableColumn id="2" xr3:uid="{00000000-0010-0000-0200-000002000000}" name="MONTO TOTAL EN DOLARES" dataDxfId="38" dataCellStyle="Moneda [0]">
      <calculatedColumnFormula>(gastoseventuales[[#This Row],[BS]]/gastoseventuales[[#This Row],[TASA]])+gastoseventuales[[#This Row],[DOLARES]]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4B63FC-3759-40A8-BD52-C4443FB87F04}" name="PAGOS" displayName="PAGOS" ref="A7:G23" totalsRowShown="0" headerRowDxfId="34" dataDxfId="32" headerRowBorderDxfId="33" tableBorderDxfId="31" totalsRowBorderDxfId="30">
  <autoFilter ref="A7:G23" xr:uid="{6F45E7C0-524F-486A-9DD2-05ABE416E43C}"/>
  <sortState xmlns:xlrd2="http://schemas.microsoft.com/office/spreadsheetml/2017/richdata2" ref="A8:G23">
    <sortCondition ref="D7:D23"/>
  </sortState>
  <tableColumns count="7">
    <tableColumn id="1" xr3:uid="{568CD2CE-182A-48E6-BA35-D67E087C19A3}" name="NRO FACTURA" dataDxfId="29"/>
    <tableColumn id="2" xr3:uid="{2524BCC1-BFEE-4480-BE2C-95AEC84BE5BE}" name="VENCIMIENTO" dataDxfId="28"/>
    <tableColumn id="3" xr3:uid="{8451E31A-6C25-4B38-AE75-834FF1C47724}" name="PROVEEDOR" dataDxfId="27"/>
    <tableColumn id="9" xr3:uid="{24701461-42CA-44E0-9F36-5DD105E478FE}" name="ESTADO" dataDxfId="26">
      <calculatedColumnFormula>_xlfn.IFS(AND(PAGOS[[#This Row],[Pendiente]]&lt;1,PAGOS[[#This Row],[Pendiente]]&gt;-1),"PAGADO",PAGOS[[#This Row],[Pendiente]]&gt;=1,"EN DEUDA")</calculatedColumnFormula>
    </tableColumn>
    <tableColumn id="5" xr3:uid="{90E8D4B3-2A07-4CB0-925C-FEE5CEB291E5}" name="DEUDA" dataDxfId="25" dataCellStyle="Moneda [0]"/>
    <tableColumn id="6" xr3:uid="{400BF7C7-A3B8-41BD-948F-321812DE952C}" name="CANCELADO" dataDxfId="24" dataCellStyle="Moneda [0]">
      <calculatedColumnFormula>SUMIFS(abonos[ABONO],abonos[REFERENCIA],PAGOS[[#This Row],[NRO FACTURA]])</calculatedColumnFormula>
    </tableColumn>
    <tableColumn id="4" xr3:uid="{5FDB4306-FC39-4C93-AF91-A0E20E6ACF34}" name="Pendiente" dataDxfId="23">
      <calculatedColumnFormula>PAGOS[[#This Row],[DEUDA]]-PAGOS[[#This Row],[CANCELADO]]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F48CB6-06DC-423B-83D8-36266EA4A9C1}" name="abonos" displayName="abonos" ref="I7:O33" totalsRowShown="0" headerRowDxfId="22" dataDxfId="20" headerRowBorderDxfId="21" tableBorderDxfId="19" totalsRowBorderDxfId="18">
  <autoFilter ref="I7:O33" xr:uid="{3721EC30-475E-49E5-933C-149DE28EF632}"/>
  <sortState xmlns:xlrd2="http://schemas.microsoft.com/office/spreadsheetml/2017/richdata2" ref="I8:O33">
    <sortCondition descending="1" ref="O7:O33"/>
  </sortState>
  <tableColumns count="7">
    <tableColumn id="1" xr3:uid="{B3BEF274-314B-4E83-AA23-B6FAA2CA1DC6}" name="REFERENCIA" dataDxfId="17"/>
    <tableColumn id="2" xr3:uid="{D3DEFFD1-1E60-4754-B21C-AA2151ED2EFE}" name="RPOVEEDOR" dataDxfId="16">
      <calculatedColumnFormula>VLOOKUP(abonos[[#This Row],[REFERENCIA]],PAGOS[],3,FALSE)</calculatedColumnFormula>
    </tableColumn>
    <tableColumn id="7" xr3:uid="{9F7A031D-D2AC-4A02-9C15-11372570087F}" name="Tasa" dataDxfId="15">
      <calculatedColumnFormula>abonos[[#This Row],[Bs]]/(VLOOKUP(abonos[[#This Row],[REFERENCIA]],PAGOS[],5,FALSE))</calculatedColumnFormula>
    </tableColumn>
    <tableColumn id="6" xr3:uid="{C4173E97-1AEA-4624-9EA9-2B4BB5864606}" name="Bs" dataDxfId="14"/>
    <tableColumn id="5" xr3:uid="{DBD6EA52-1B90-4844-B37F-3CC3696299BF}" name="DOLARES" dataDxfId="13"/>
    <tableColumn id="3" xr3:uid="{A47C903D-93F1-4B24-A6B4-8341E7524CF0}" name="ABONO" dataDxfId="12" dataCellStyle="Moneda [0]">
      <calculatedColumnFormula>abonos[[#This Row],[DOLARES]]+(IF(K8&gt;0,abonos[[#This Row],[Bs]]/abonos[[#This Row],[Tasa]],"0"))</calculatedColumnFormula>
    </tableColumn>
    <tableColumn id="4" xr3:uid="{0C16D838-F5EB-4E42-81CB-4108B7BEBB50}" name="FECHA" dataDxfId="11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FORANEO" displayName="FORANEO" ref="B7:G11" totalsRowShown="0" headerRowDxfId="10" dataDxfId="8" headerRowBorderDxfId="9" tableBorderDxfId="7" totalsRowBorderDxfId="6">
  <autoFilter ref="B7:G11" xr:uid="{00000000-0009-0000-0100-000005000000}"/>
  <tableColumns count="6">
    <tableColumn id="1" xr3:uid="{00000000-0010-0000-0300-000001000000}" name="FECHA " dataDxfId="5"/>
    <tableColumn id="2" xr3:uid="{00000000-0010-0000-0300-000002000000}" name="COSTO" dataDxfId="4"/>
    <tableColumn id="3" xr3:uid="{00000000-0010-0000-0300-000003000000}" name="VENTA" dataDxfId="3"/>
    <tableColumn id="4" xr3:uid="{00000000-0010-0000-0300-000004000000}" name="GANANCIA " dataDxfId="2">
      <calculatedColumnFormula>FORANEO[[#This Row],[VENTA]]-FORANEO[[#This Row],[COSTO]]</calculatedColumnFormula>
    </tableColumn>
    <tableColumn id="5" xr3:uid="{00000000-0010-0000-0300-000005000000}" name="REPUESTO " dataDxfId="1"/>
    <tableColumn id="6" xr3:uid="{00000000-0010-0000-0300-000006000000}" name="FORMA DE PAG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/>
  </sheetPr>
  <dimension ref="A2:T30"/>
  <sheetViews>
    <sheetView showGridLines="0" tabSelected="1" zoomScale="90" zoomScaleNormal="90" workbookViewId="0">
      <selection activeCell="B3" sqref="B3"/>
    </sheetView>
  </sheetViews>
  <sheetFormatPr baseColWidth="10" defaultColWidth="11.44140625" defaultRowHeight="14.4" x14ac:dyDescent="0.3"/>
  <cols>
    <col min="1" max="1" width="14.33203125" style="16" customWidth="1"/>
    <col min="2" max="2" width="11.44140625" style="16"/>
    <col min="3" max="3" width="11.77734375" style="16" bestFit="1" customWidth="1"/>
    <col min="4" max="4" width="5.6640625" style="16" customWidth="1"/>
    <col min="5" max="5" width="14" style="16" customWidth="1"/>
    <col min="6" max="6" width="13.21875" style="16" bestFit="1" customWidth="1"/>
    <col min="7" max="7" width="5.21875" style="16" customWidth="1"/>
    <col min="8" max="8" width="12.44140625" style="16" customWidth="1"/>
    <col min="9" max="9" width="11.44140625" style="16"/>
    <col min="10" max="10" width="4.44140625" style="16" customWidth="1"/>
    <col min="11" max="16" width="11.44140625" style="16"/>
    <col min="17" max="17" width="14.44140625" style="16" customWidth="1"/>
    <col min="18" max="18" width="11.44140625" style="16"/>
    <col min="19" max="19" width="13.33203125" style="16" customWidth="1"/>
    <col min="20" max="16384" width="11.44140625" style="16"/>
  </cols>
  <sheetData>
    <row r="2" spans="1:18" x14ac:dyDescent="0.3">
      <c r="A2" s="2" t="s">
        <v>0</v>
      </c>
      <c r="B2" s="3">
        <v>3</v>
      </c>
      <c r="C2" s="3">
        <v>2023</v>
      </c>
    </row>
    <row r="3" spans="1:18" x14ac:dyDescent="0.3">
      <c r="B3" s="16" t="s">
        <v>200</v>
      </c>
    </row>
    <row r="7" spans="1:18" x14ac:dyDescent="0.3">
      <c r="A7" s="140" t="s">
        <v>5</v>
      </c>
      <c r="B7" s="140"/>
      <c r="C7" s="67">
        <f>SUMIFS(ventasdiarias[Total],ventasdiarias[Fecha],"&gt;="&amp;DATE(Resumen!$C$2,Resumen!$B$2,1),ventasdiarias[Fecha],"&lt;="&amp;EOMONTH(DATE(Resumen!$C$2,Resumen!$B$2,1),0))</f>
        <v>2185.6882511765989</v>
      </c>
      <c r="E7" s="5" t="s">
        <v>208</v>
      </c>
      <c r="F7" s="1">
        <f>IF(C$7&gt;=6000,(C$19/100)*20,"0")+IF(C$7&lt;6000,(C$18/100)*20,"0")</f>
        <v>4.9595760578099943</v>
      </c>
      <c r="H7" s="6" t="s">
        <v>20</v>
      </c>
      <c r="I7" s="45">
        <f>Foraneos!J3</f>
        <v>0</v>
      </c>
      <c r="K7" s="59" t="s">
        <v>138</v>
      </c>
      <c r="L7" s="59" t="s">
        <v>139</v>
      </c>
      <c r="M7" s="59" t="s">
        <v>140</v>
      </c>
      <c r="P7" s="6" t="s">
        <v>135</v>
      </c>
      <c r="Q7" s="140" t="s">
        <v>136</v>
      </c>
      <c r="R7" s="140"/>
    </row>
    <row r="8" spans="1:18" x14ac:dyDescent="0.3">
      <c r="A8" s="140" t="s">
        <v>6</v>
      </c>
      <c r="B8" s="140"/>
      <c r="C8" s="67">
        <f>C7/1.16</f>
        <v>1884.2140096349992</v>
      </c>
      <c r="E8" s="5" t="s">
        <v>203</v>
      </c>
      <c r="F8" s="1">
        <f>IF(C$7&gt;=6000,(C$19/100)*20,"0")+IF(C$7&lt;6000,(C$18/100)*20,"0")</f>
        <v>4.9595760578099943</v>
      </c>
      <c r="H8" s="6" t="s">
        <v>21</v>
      </c>
      <c r="I8" s="45">
        <f>Foraneos!H3</f>
        <v>0</v>
      </c>
      <c r="K8" s="65" t="s">
        <v>141</v>
      </c>
      <c r="L8" s="60">
        <v>23</v>
      </c>
      <c r="M8" s="67">
        <f>C7/L8</f>
        <v>95.029923964199952</v>
      </c>
      <c r="O8" s="137" t="s">
        <v>207</v>
      </c>
      <c r="P8" s="63">
        <v>25</v>
      </c>
      <c r="Q8" s="138">
        <f>P8*2+F9</f>
        <v>52.479788028904998</v>
      </c>
      <c r="R8" s="139"/>
    </row>
    <row r="9" spans="1:18" x14ac:dyDescent="0.3">
      <c r="A9" s="140" t="s">
        <v>7</v>
      </c>
      <c r="B9" s="140"/>
      <c r="C9" s="67">
        <f>SUMIFS(ventasdiarias[Costo $],ventasdiarias[Fecha],"&gt;="&amp;DATE(Resumen!C2,Resumen!B2,1),ventasdiarias[Fecha],"&lt;="&amp;EOMONTH(DATE(Resumen!C2,Resumen!B2,1),0))</f>
        <v>1057.6180000000002</v>
      </c>
      <c r="E9" s="5" t="s">
        <v>206</v>
      </c>
      <c r="F9" s="1">
        <f>IF(C$7&gt;=6000,(C$19/100)*10,"0")+IF(C$7&lt;6000,(C$18/100)*10,"0")</f>
        <v>2.4797880289049972</v>
      </c>
      <c r="H9" s="6" t="s">
        <v>22</v>
      </c>
      <c r="I9" s="45">
        <f>I7-I8</f>
        <v>0</v>
      </c>
      <c r="K9" s="65" t="s">
        <v>142</v>
      </c>
      <c r="L9" s="60">
        <v>15</v>
      </c>
      <c r="M9" s="1">
        <f>C14/L9</f>
        <v>20.142825378255324</v>
      </c>
      <c r="O9" s="137" t="s">
        <v>137</v>
      </c>
      <c r="P9" s="63">
        <v>0</v>
      </c>
      <c r="Q9" s="138">
        <f>P9*2+F7</f>
        <v>4.9595760578099943</v>
      </c>
      <c r="R9" s="139"/>
    </row>
    <row r="10" spans="1:18" x14ac:dyDescent="0.3">
      <c r="A10" s="140" t="s">
        <v>8</v>
      </c>
      <c r="B10" s="140"/>
      <c r="C10" s="67">
        <f>C7-C8</f>
        <v>301.47424154159967</v>
      </c>
      <c r="E10" s="5" t="s">
        <v>210</v>
      </c>
      <c r="F10" s="1">
        <f>IF(C$7&gt;=6000,(C$19/100)*12,"0")+IF(C$7&lt;6000,(C$18/100)*12,"0")</f>
        <v>2.9757456346859965</v>
      </c>
      <c r="H10" s="6" t="s">
        <v>23</v>
      </c>
      <c r="I10" s="45">
        <f>I9-I11</f>
        <v>0</v>
      </c>
      <c r="K10" s="65" t="s">
        <v>143</v>
      </c>
      <c r="L10" s="60">
        <v>31</v>
      </c>
      <c r="M10" s="44">
        <f>M8*L10</f>
        <v>2945.9276428901985</v>
      </c>
      <c r="O10" s="137" t="s">
        <v>211</v>
      </c>
      <c r="P10" s="63">
        <v>25</v>
      </c>
      <c r="Q10" s="138">
        <f>P10*2+F10</f>
        <v>52.975745634686</v>
      </c>
      <c r="R10" s="139"/>
    </row>
    <row r="11" spans="1:18" x14ac:dyDescent="0.3">
      <c r="A11" s="140" t="s">
        <v>110</v>
      </c>
      <c r="B11" s="140"/>
      <c r="C11" s="67">
        <f>C9+C10</f>
        <v>1359.0922415415998</v>
      </c>
      <c r="E11" s="40"/>
      <c r="F11" s="41"/>
      <c r="H11" s="6" t="s">
        <v>24</v>
      </c>
      <c r="I11" s="45">
        <f>(I9/100)*20</f>
        <v>0</v>
      </c>
      <c r="O11" s="137" t="s">
        <v>65</v>
      </c>
      <c r="P11" s="64">
        <v>25</v>
      </c>
      <c r="Q11" s="138">
        <f>P11*2+F8</f>
        <v>54.959576057809997</v>
      </c>
      <c r="R11" s="139"/>
    </row>
    <row r="12" spans="1:18" x14ac:dyDescent="0.3">
      <c r="A12" s="142" t="s">
        <v>111</v>
      </c>
      <c r="B12" s="142"/>
      <c r="C12" s="67">
        <f>C11-Pagos!B5</f>
        <v>-194.90775845840017</v>
      </c>
      <c r="I12" s="42"/>
    </row>
    <row r="13" spans="1:18" x14ac:dyDescent="0.3">
      <c r="A13" s="140" t="s">
        <v>115</v>
      </c>
      <c r="B13" s="140"/>
      <c r="C13" s="67">
        <f>'Gastos F-E'!A3</f>
        <v>631.25</v>
      </c>
      <c r="I13" s="42"/>
    </row>
    <row r="14" spans="1:18" x14ac:dyDescent="0.3">
      <c r="A14" s="140" t="s">
        <v>9</v>
      </c>
      <c r="B14" s="140"/>
      <c r="C14" s="67">
        <f>'Gastos F-E'!B3</f>
        <v>302.14238067382985</v>
      </c>
    </row>
    <row r="15" spans="1:18" x14ac:dyDescent="0.3">
      <c r="A15" s="140" t="s">
        <v>205</v>
      </c>
      <c r="B15" s="140"/>
      <c r="C15" s="67">
        <f>'Gastos F-E'!C3</f>
        <v>120</v>
      </c>
    </row>
    <row r="16" spans="1:18" x14ac:dyDescent="0.3">
      <c r="A16" s="140" t="s">
        <v>10</v>
      </c>
      <c r="B16" s="140"/>
      <c r="C16" s="67">
        <f>C8-C9</f>
        <v>826.59600963499906</v>
      </c>
      <c r="E16" s="82" t="s">
        <v>151</v>
      </c>
      <c r="F16" s="81">
        <f>SUMIFS(ventasdiarias[Total],ventasdiarias[Fecha],"&gt;=1"&amp;$E16&amp;Resumen!$C$2,ventasdiarias[Fecha],"&lt;="&amp;EOMONTH("1"&amp;$E16&amp;Resumen!$C$2,0))</f>
        <v>2689.1656383391728</v>
      </c>
    </row>
    <row r="17" spans="1:20" x14ac:dyDescent="0.3">
      <c r="A17" s="142" t="s">
        <v>11</v>
      </c>
      <c r="B17" s="142"/>
      <c r="C17" s="67">
        <f>C16-(C13+C14+C15)+I10</f>
        <v>-226.79637103883078</v>
      </c>
      <c r="E17" s="82" t="s">
        <v>152</v>
      </c>
      <c r="F17" s="81">
        <f>SUMIFS(ventasdiarias[Total],ventasdiarias[Fecha],"&gt;=1"&amp;$E17&amp;Resumen!$C$2,ventasdiarias[Fecha],"&lt;="&amp;EOMONTH("1"&amp;$E17&amp;Resumen!$C$2,0))</f>
        <v>0</v>
      </c>
    </row>
    <row r="18" spans="1:20" x14ac:dyDescent="0.3">
      <c r="A18" s="140" t="s">
        <v>113</v>
      </c>
      <c r="B18" s="140"/>
      <c r="C18" s="67">
        <f>(C16/100)*3+I11</f>
        <v>24.797880289049971</v>
      </c>
      <c r="E18" s="82" t="s">
        <v>150</v>
      </c>
      <c r="F18" s="81">
        <f>SUMIFS(ventasdiarias[Total],ventasdiarias[Fecha],"&gt;=1"&amp;$E18&amp;Resumen!$C$2,ventasdiarias[Fecha],"&lt;="&amp;EOMONTH("1"&amp;$E18&amp;Resumen!$C$2,0))</f>
        <v>2185.6882511765989</v>
      </c>
      <c r="S18" s="59" t="s">
        <v>57</v>
      </c>
      <c r="T18" s="59" t="s">
        <v>193</v>
      </c>
    </row>
    <row r="19" spans="1:20" x14ac:dyDescent="0.3">
      <c r="A19" s="140" t="s">
        <v>114</v>
      </c>
      <c r="B19" s="140"/>
      <c r="C19" s="67">
        <f>(C16/100)*10+I11</f>
        <v>82.659600963499912</v>
      </c>
      <c r="E19" s="82" t="s">
        <v>153</v>
      </c>
      <c r="F19" s="81">
        <f>SUMIFS(ventasdiarias[Total],ventasdiarias[Fecha],"&gt;=1"&amp;$E19&amp;Resumen!$C$2,ventasdiarias[Fecha],"&lt;="&amp;EOMONTH("1"&amp;$E19&amp;Resumen!$C$2,0))</f>
        <v>2852.3156865407154</v>
      </c>
      <c r="K19" s="66"/>
      <c r="S19" s="104">
        <f>SUMIFS(ventasdiarias[Bs efecitivo],ventasdiarias[Fecha],"&gt;="&amp;DATE(Resumen!$C$2,Resumen!$B$2,1),ventasdiarias[Fecha],"&lt;="&amp;EOMONTH(DATE(Resumen!$C$2,Resumen!$B$2,1),0))+SUMIFS(ventasdiarias[Pago Movil],ventasdiarias[Fecha],"&gt;="&amp;DATE(Resumen!$C$2,Resumen!$B$2,1),ventasdiarias[Fecha],"&lt;="&amp;EOMONTH(DATE(Resumen!$C$2,Resumen!$B$2,1),0))+SUMIFS(ventasdiarias[punto],ventasdiarias[Fecha],"&gt;="&amp;DATE(Resumen!$C$2,Resumen!$B$2,1),ventasdiarias[Fecha],"&lt;="&amp;EOMONTH(DATE(Resumen!$C$2,Resumen!$B$2,1),0))-SUMIFS(gastoseventuales[BS],gastoseventuales[FECHA],"&gt;="&amp;DATE(Resumen!$C$2,Resumen!$B$2,1),gastoseventuales[FECHA],"&lt;="&amp;EOMONTH(DATE(Resumen!$C$2,Resumen!$B$2,1),0))-SUMIFS(abonos[Bs],abonos[FECHA],"&gt;="&amp;DATE(Resumen!$C$2,Resumen!$B$2,1),abonos[FECHA],"&lt;="&amp;EOMONTH(DATE(Resumen!$C$2,Resumen!$B$2,1),0))</f>
        <v>5244.15</v>
      </c>
      <c r="T19" s="67">
        <f>SUMIFS(ventasdiarias[Venta $],ventasdiarias[Fecha],"&gt;="&amp;DATE(Resumen!$C$2,Resumen!$B$2,1),ventasdiarias[Fecha],"&lt;="&amp;EOMONTH(DATE(Resumen!$C$2,Resumen!$B$2,1),0))-SUMIFS(gastoseventuales[DOLARES],gastoseventuales[FECHA],"&gt;="&amp;DATE(Resumen!$C$2,Resumen!$B$2,1),gastoseventuales[FECHA],"&lt;="&amp;EOMONTH(DATE(Resumen!$C$2,Resumen!$B$2,1),0))-SUMIFS(abonos[DOLARES],abonos[FECHA],"&gt;="&amp;DATE(Resumen!$C$2,Resumen!$B$2,1),abonos[FECHA],"&lt;="&amp;EOMONTH(DATE(Resumen!$C$2,Resumen!$B$2,1),0))+SUMIFS(ventasdiarias[Zelle $],ventasdiarias[Fecha],"&gt;="&amp;DATE(Resumen!$C$2,Resumen!$B$2,1),ventasdiarias[Fecha],"&lt;="&amp;EOMONTH(DATE(Resumen!$C$2,Resumen!$B$2,1),0))</f>
        <v>-637.65999999999985</v>
      </c>
    </row>
    <row r="20" spans="1:20" x14ac:dyDescent="0.3">
      <c r="A20" s="140" t="s">
        <v>12</v>
      </c>
      <c r="B20" s="140"/>
      <c r="C20" s="67">
        <f>(IF(C7&gt;=5000,C19,"0")+IF(C7&lt;5000,C18,"0"))</f>
        <v>24.797880289049971</v>
      </c>
      <c r="E20" s="82" t="s">
        <v>154</v>
      </c>
      <c r="F20" s="81">
        <f>SUMIFS(ventasdiarias[Total],ventasdiarias[Fecha],"&gt;=1"&amp;$E20&amp;Resumen!$C$2,ventasdiarias[Fecha],"&lt;="&amp;EOMONTH("1"&amp;$E20&amp;Resumen!$C$2,0))</f>
        <v>2835.2154473047349</v>
      </c>
    </row>
    <row r="21" spans="1:20" x14ac:dyDescent="0.3">
      <c r="A21" s="140" t="s">
        <v>13</v>
      </c>
      <c r="B21" s="140"/>
      <c r="C21" s="89">
        <f>(C8-C9)*(100/C8)</f>
        <v>43.869539521952888</v>
      </c>
      <c r="E21" s="82" t="s">
        <v>155</v>
      </c>
      <c r="F21" s="81">
        <f>SUMIFS(ventasdiarias[Total],ventasdiarias[Fecha],"&gt;=1"&amp;$E21&amp;Resumen!$C$2,ventasdiarias[Fecha],"&lt;="&amp;EOMONTH("1"&amp;$E21&amp;Resumen!$C$2,0))</f>
        <v>0</v>
      </c>
    </row>
    <row r="22" spans="1:20" x14ac:dyDescent="0.3">
      <c r="A22" s="142" t="s">
        <v>60</v>
      </c>
      <c r="B22" s="142"/>
      <c r="C22" s="68">
        <f>Pagos!B4</f>
        <v>-194.90775845840017</v>
      </c>
      <c r="E22" s="82" t="s">
        <v>156</v>
      </c>
      <c r="F22" s="81">
        <f>SUMIFS(ventasdiarias[Total],ventasdiarias[Fecha],"&gt;=1"&amp;$E22&amp;Resumen!$C$2,ventasdiarias[Fecha],"&lt;="&amp;EOMONTH("1"&amp;$E22&amp;Resumen!$C$2,0))</f>
        <v>0</v>
      </c>
    </row>
    <row r="23" spans="1:20" x14ac:dyDescent="0.3">
      <c r="A23" s="141"/>
      <c r="B23" s="141"/>
      <c r="C23" s="135"/>
      <c r="E23" s="82" t="s">
        <v>157</v>
      </c>
      <c r="F23" s="81">
        <f>SUMIFS(ventasdiarias[Total],ventasdiarias[Fecha],"&gt;=1"&amp;$E23&amp;Resumen!$C$2,ventasdiarias[Fecha],"&lt;="&amp;EOMONTH("1"&amp;$E23&amp;Resumen!$C$2,0))</f>
        <v>0</v>
      </c>
    </row>
    <row r="24" spans="1:20" x14ac:dyDescent="0.3">
      <c r="C24" s="135"/>
      <c r="E24" s="82" t="s">
        <v>158</v>
      </c>
      <c r="F24" s="81">
        <f>SUMIFS(ventasdiarias[Total],ventasdiarias[Fecha],"&gt;=1"&amp;$E24&amp;Resumen!$C$2,ventasdiarias[Fecha],"&lt;="&amp;EOMONTH("1"&amp;$E24&amp;Resumen!$C$2,0))</f>
        <v>0</v>
      </c>
      <c r="J24" s="4"/>
    </row>
    <row r="25" spans="1:20" x14ac:dyDescent="0.3">
      <c r="C25" s="136"/>
      <c r="E25" s="82" t="s">
        <v>159</v>
      </c>
      <c r="F25" s="81">
        <f>SUMIFS(ventasdiarias[Total],ventasdiarias[Fecha],"&gt;=1"&amp;$E25&amp;Resumen!$C$2,ventasdiarias[Fecha],"&lt;="&amp;EOMONTH("1"&amp;$E25&amp;Resumen!$C$2,0))</f>
        <v>0</v>
      </c>
      <c r="H25" s="62"/>
    </row>
    <row r="26" spans="1:20" x14ac:dyDescent="0.3">
      <c r="E26" s="82" t="s">
        <v>160</v>
      </c>
      <c r="F26" s="81">
        <f>SUMIFS(ventasdiarias[Total],ventasdiarias[Fecha],"&gt;=1"&amp;$E26&amp;Resumen!$C$2,ventasdiarias[Fecha],"&lt;="&amp;EOMONTH("1"&amp;$E26&amp;Resumen!$C$2,0))</f>
        <v>0</v>
      </c>
      <c r="H26" s="62"/>
    </row>
    <row r="27" spans="1:20" x14ac:dyDescent="0.3">
      <c r="E27" s="82" t="s">
        <v>161</v>
      </c>
      <c r="F27" s="81">
        <f>SUMIFS(ventasdiarias[Total],ventasdiarias[Fecha],"&gt;=1"&amp;$E27&amp;Resumen!$C$2,ventasdiarias[Fecha],"&lt;="&amp;EOMONTH("1"&amp;$E27&amp;Resumen!$C$2,0))</f>
        <v>0</v>
      </c>
    </row>
    <row r="29" spans="1:20" x14ac:dyDescent="0.3">
      <c r="E29" s="143" t="s">
        <v>140</v>
      </c>
      <c r="F29" s="144"/>
    </row>
    <row r="30" spans="1:20" x14ac:dyDescent="0.3">
      <c r="E30" s="105">
        <v>4</v>
      </c>
      <c r="F30" s="106">
        <f>SUM(F16:F27)/E30</f>
        <v>2640.5962558403053</v>
      </c>
    </row>
  </sheetData>
  <mergeCells count="19">
    <mergeCell ref="A11:B11"/>
    <mergeCell ref="A12:B12"/>
    <mergeCell ref="E29:F29"/>
    <mergeCell ref="Q7:R7"/>
    <mergeCell ref="A23:B23"/>
    <mergeCell ref="A22:B22"/>
    <mergeCell ref="A14:B14"/>
    <mergeCell ref="A16:B16"/>
    <mergeCell ref="A17:B17"/>
    <mergeCell ref="A18:B18"/>
    <mergeCell ref="A20:B20"/>
    <mergeCell ref="A21:B21"/>
    <mergeCell ref="A15:B15"/>
    <mergeCell ref="A7:B7"/>
    <mergeCell ref="A8:B8"/>
    <mergeCell ref="A9:B9"/>
    <mergeCell ref="A10:B10"/>
    <mergeCell ref="A19:B19"/>
    <mergeCell ref="A13:B13"/>
  </mergeCells>
  <phoneticPr fontId="2" type="noConversion"/>
  <pageMargins left="0.7" right="0.7" top="0.75" bottom="0.75" header="0.3" footer="0.3"/>
  <pageSetup paperSize="9" orientation="portrait" r:id="rId1"/>
  <ignoredErrors>
    <ignoredError sqref="C2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6"/>
  </sheetPr>
  <dimension ref="B5:R133"/>
  <sheetViews>
    <sheetView showGridLines="0" topLeftCell="A4" zoomScaleNormal="100" workbookViewId="0">
      <selection activeCell="E22" sqref="E22"/>
    </sheetView>
  </sheetViews>
  <sheetFormatPr baseColWidth="10" defaultColWidth="11.44140625" defaultRowHeight="13.8" x14ac:dyDescent="0.3"/>
  <cols>
    <col min="1" max="1" width="11.44140625" style="30"/>
    <col min="2" max="7" width="12" style="30" customWidth="1"/>
    <col min="8" max="8" width="13" style="30" customWidth="1"/>
    <col min="9" max="9" width="11.21875" style="30" customWidth="1"/>
    <col min="10" max="10" width="12" style="30" customWidth="1"/>
    <col min="11" max="11" width="11.77734375" style="30" bestFit="1" customWidth="1"/>
    <col min="12" max="12" width="19.21875" style="30" hidden="1" customWidth="1"/>
    <col min="13" max="14" width="12" style="30" customWidth="1"/>
    <col min="15" max="15" width="16.21875" style="30" customWidth="1"/>
    <col min="16" max="18" width="12" style="30" customWidth="1"/>
    <col min="19" max="16384" width="11.44140625" style="30"/>
  </cols>
  <sheetData>
    <row r="5" spans="2:18" x14ac:dyDescent="0.3">
      <c r="B5" s="74" t="s">
        <v>0</v>
      </c>
      <c r="C5" s="74" t="s">
        <v>144</v>
      </c>
      <c r="D5" s="75" t="s">
        <v>1</v>
      </c>
      <c r="E5" s="75" t="s">
        <v>4</v>
      </c>
      <c r="F5" s="75" t="s">
        <v>164</v>
      </c>
      <c r="G5" s="75" t="s">
        <v>165</v>
      </c>
      <c r="H5" s="75" t="s">
        <v>2</v>
      </c>
      <c r="I5" s="75" t="s">
        <v>64</v>
      </c>
      <c r="J5" s="75" t="s">
        <v>166</v>
      </c>
      <c r="K5" s="76" t="s">
        <v>3</v>
      </c>
      <c r="L5" s="75" t="s">
        <v>145</v>
      </c>
    </row>
    <row r="6" spans="2:18" x14ac:dyDescent="0.3">
      <c r="B6" s="77">
        <v>45077</v>
      </c>
      <c r="C6" s="74" t="str">
        <f>TEXT(ventasdiarias[[#This Row],[Fecha]],"dddd")</f>
        <v>miércoles</v>
      </c>
      <c r="D6" s="74">
        <v>26.16</v>
      </c>
      <c r="E6" s="75"/>
      <c r="F6" s="75"/>
      <c r="G6" s="75"/>
      <c r="H6" s="75"/>
      <c r="I6" s="75"/>
      <c r="J6" s="75"/>
      <c r="K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6" s="78"/>
      <c r="O6" s="69"/>
    </row>
    <row r="7" spans="2:18" x14ac:dyDescent="0.3">
      <c r="B7" s="77">
        <v>45076</v>
      </c>
      <c r="C7" s="74" t="str">
        <f>TEXT(ventasdiarias[[#This Row],[Fecha]],"dddd")</f>
        <v>martes</v>
      </c>
      <c r="D7" s="74">
        <v>26.25</v>
      </c>
      <c r="E7" s="75">
        <v>94.55</v>
      </c>
      <c r="F7" s="75">
        <v>420</v>
      </c>
      <c r="G7" s="75">
        <v>1004.3</v>
      </c>
      <c r="H7" s="75">
        <v>120</v>
      </c>
      <c r="I7" s="75"/>
      <c r="J7" s="75"/>
      <c r="K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174.25904761904761</v>
      </c>
      <c r="L7" s="78"/>
      <c r="O7" s="69"/>
    </row>
    <row r="8" spans="2:18" x14ac:dyDescent="0.3">
      <c r="B8" s="77">
        <v>45075</v>
      </c>
      <c r="C8" s="74" t="str">
        <f>TEXT(ventasdiarias[[#This Row],[Fecha]],"dddd")</f>
        <v>lunes</v>
      </c>
      <c r="D8" s="74">
        <v>26.27</v>
      </c>
      <c r="E8" s="75">
        <v>23.65</v>
      </c>
      <c r="F8" s="75">
        <v>0</v>
      </c>
      <c r="G8" s="75">
        <v>394.06</v>
      </c>
      <c r="H8" s="75">
        <v>26</v>
      </c>
      <c r="I8" s="75">
        <v>0</v>
      </c>
      <c r="J8" s="75">
        <v>0</v>
      </c>
      <c r="K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41.000380662352498</v>
      </c>
      <c r="L8" s="78"/>
    </row>
    <row r="9" spans="2:18" x14ac:dyDescent="0.3">
      <c r="B9" s="77">
        <v>45073</v>
      </c>
      <c r="C9" s="74" t="str">
        <f>TEXT(ventasdiarias[[#This Row],[Fecha]],"dddd")</f>
        <v>sábado</v>
      </c>
      <c r="D9" s="74">
        <v>26</v>
      </c>
      <c r="E9" s="74">
        <v>5.55</v>
      </c>
      <c r="F9" s="75"/>
      <c r="G9" s="75">
        <v>52.24</v>
      </c>
      <c r="H9" s="75">
        <v>10</v>
      </c>
      <c r="I9" s="75"/>
      <c r="J9" s="75"/>
      <c r="K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12.009230769230768</v>
      </c>
      <c r="L9" s="78"/>
    </row>
    <row r="10" spans="2:18" x14ac:dyDescent="0.3">
      <c r="B10" s="77">
        <v>45072</v>
      </c>
      <c r="C10" s="74" t="str">
        <f>TEXT(ventasdiarias[[#This Row],[Fecha]],"dddd")</f>
        <v>viernes</v>
      </c>
      <c r="D10" s="74">
        <v>26</v>
      </c>
      <c r="E10" s="75">
        <v>47</v>
      </c>
      <c r="F10" s="75"/>
      <c r="G10" s="75"/>
      <c r="H10" s="75">
        <v>70</v>
      </c>
      <c r="I10" s="75"/>
      <c r="J10" s="75">
        <v>208.78</v>
      </c>
      <c r="K1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78.03</v>
      </c>
      <c r="L10" s="78"/>
    </row>
    <row r="11" spans="2:18" x14ac:dyDescent="0.3">
      <c r="B11" s="77">
        <v>45071</v>
      </c>
      <c r="C11" s="74" t="str">
        <f>TEXT(ventasdiarias[[#This Row],[Fecha]],"dddd")</f>
        <v>jueves</v>
      </c>
      <c r="D11" s="74">
        <v>26</v>
      </c>
      <c r="E11" s="75">
        <v>7.56</v>
      </c>
      <c r="F11" s="75">
        <v>130</v>
      </c>
      <c r="G11" s="75"/>
      <c r="H11" s="75">
        <v>11</v>
      </c>
      <c r="I11" s="75"/>
      <c r="J11" s="75"/>
      <c r="K1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16</v>
      </c>
      <c r="L11" s="78"/>
      <c r="M11" s="31"/>
      <c r="N11" s="31"/>
      <c r="O11" s="31"/>
      <c r="P11" s="31"/>
      <c r="Q11" s="31"/>
      <c r="R11" s="31"/>
    </row>
    <row r="12" spans="2:18" x14ac:dyDescent="0.3">
      <c r="B12" s="77">
        <v>45070</v>
      </c>
      <c r="C12" s="74" t="str">
        <f>TEXT(ventasdiarias[[#This Row],[Fecha]],"dddd")</f>
        <v>miércoles</v>
      </c>
      <c r="D12" s="74">
        <v>26</v>
      </c>
      <c r="E12" s="75">
        <v>70.91</v>
      </c>
      <c r="F12" s="75">
        <v>10</v>
      </c>
      <c r="G12" s="75">
        <v>91</v>
      </c>
      <c r="H12" s="75">
        <v>55</v>
      </c>
      <c r="I12" s="75">
        <v>0</v>
      </c>
      <c r="J12" s="75">
        <v>1924</v>
      </c>
      <c r="K1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132.88461538461539</v>
      </c>
      <c r="L12" s="78"/>
    </row>
    <row r="13" spans="2:18" x14ac:dyDescent="0.3">
      <c r="B13" s="77">
        <v>45069</v>
      </c>
      <c r="C13" s="74" t="str">
        <f>TEXT(ventasdiarias[[#This Row],[Fecha]],"dddd")</f>
        <v>martes</v>
      </c>
      <c r="D13" s="74">
        <v>26</v>
      </c>
      <c r="E13" s="75">
        <v>42.32</v>
      </c>
      <c r="F13" s="75">
        <v>130</v>
      </c>
      <c r="G13" s="75">
        <v>832</v>
      </c>
      <c r="H13" s="75">
        <v>40</v>
      </c>
      <c r="I13" s="75">
        <v>0</v>
      </c>
      <c r="J13" s="75">
        <v>0</v>
      </c>
      <c r="K1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77</v>
      </c>
      <c r="L13" s="78"/>
    </row>
    <row r="14" spans="2:18" x14ac:dyDescent="0.3">
      <c r="B14" s="77">
        <v>45068</v>
      </c>
      <c r="C14" s="74" t="str">
        <f>TEXT(ventasdiarias[[#This Row],[Fecha]],"dddd")</f>
        <v>lunes</v>
      </c>
      <c r="D14" s="74">
        <v>26</v>
      </c>
      <c r="E14" s="49">
        <v>24.12</v>
      </c>
      <c r="F14" s="75">
        <v>208</v>
      </c>
      <c r="G14" s="75">
        <v>0</v>
      </c>
      <c r="H14" s="75">
        <v>50</v>
      </c>
      <c r="I14" s="75">
        <v>0</v>
      </c>
      <c r="J14" s="75">
        <v>0</v>
      </c>
      <c r="K1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58</v>
      </c>
      <c r="L14" s="78"/>
    </row>
    <row r="15" spans="2:18" x14ac:dyDescent="0.3">
      <c r="B15" s="77">
        <v>45066</v>
      </c>
      <c r="C15" s="74" t="str">
        <f>TEXT(ventasdiarias[[#This Row],[Fecha]],"dddd")</f>
        <v>sábado</v>
      </c>
      <c r="D15" s="74">
        <v>25.9</v>
      </c>
      <c r="E15" s="75">
        <v>54.83</v>
      </c>
      <c r="F15" s="75">
        <v>0</v>
      </c>
      <c r="G15" s="75">
        <v>600</v>
      </c>
      <c r="H15" s="75">
        <v>77</v>
      </c>
      <c r="I15" s="75">
        <v>0</v>
      </c>
      <c r="J15" s="75">
        <v>0</v>
      </c>
      <c r="K1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100.16602316602317</v>
      </c>
      <c r="L15" s="78"/>
    </row>
    <row r="16" spans="2:18" x14ac:dyDescent="0.3">
      <c r="B16" s="77">
        <v>45065</v>
      </c>
      <c r="C16" s="74" t="str">
        <f>TEXT(ventasdiarias[[#This Row],[Fecha]],"dddd")</f>
        <v>viernes</v>
      </c>
      <c r="D16" s="74">
        <v>25.9</v>
      </c>
      <c r="E16" s="74">
        <v>20.63</v>
      </c>
      <c r="F16" s="75">
        <v>129</v>
      </c>
      <c r="G16" s="75">
        <v>0</v>
      </c>
      <c r="H16" s="75">
        <v>45</v>
      </c>
      <c r="I16" s="75">
        <v>0</v>
      </c>
      <c r="J16" s="75">
        <v>0</v>
      </c>
      <c r="K1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49.980694980694977</v>
      </c>
      <c r="L16" s="78"/>
    </row>
    <row r="17" spans="2:12" x14ac:dyDescent="0.3">
      <c r="B17" s="77">
        <v>45064</v>
      </c>
      <c r="C17" s="74" t="str">
        <f>TEXT(ventasdiarias[[#This Row],[Fecha]],"dddd")</f>
        <v>jueves</v>
      </c>
      <c r="D17" s="74">
        <v>25.81</v>
      </c>
      <c r="E17" s="75">
        <v>20.100000000000001</v>
      </c>
      <c r="F17" s="75">
        <v>0</v>
      </c>
      <c r="G17" s="75">
        <v>0</v>
      </c>
      <c r="H17" s="75">
        <v>20</v>
      </c>
      <c r="I17" s="75">
        <v>0</v>
      </c>
      <c r="J17" s="75">
        <v>412.54</v>
      </c>
      <c r="K1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35.983727237504844</v>
      </c>
      <c r="L17" s="78"/>
    </row>
    <row r="18" spans="2:12" x14ac:dyDescent="0.3">
      <c r="B18" s="77">
        <v>45063</v>
      </c>
      <c r="C18" s="74" t="str">
        <f>TEXT(ventasdiarias[[#This Row],[Fecha]],"dddd")</f>
        <v>miércoles</v>
      </c>
      <c r="D18" s="74">
        <v>25.64</v>
      </c>
      <c r="E18" s="75">
        <v>57.890000000000008</v>
      </c>
      <c r="F18" s="75">
        <v>0</v>
      </c>
      <c r="G18" s="75">
        <v>76.92</v>
      </c>
      <c r="H18" s="75">
        <v>113</v>
      </c>
      <c r="I18" s="75">
        <v>0</v>
      </c>
      <c r="J18" s="75">
        <v>411.62</v>
      </c>
      <c r="K1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132.05382215288611</v>
      </c>
      <c r="L18" s="78"/>
    </row>
    <row r="19" spans="2:12" x14ac:dyDescent="0.3">
      <c r="B19" s="77">
        <v>45062</v>
      </c>
      <c r="C19" s="74" t="str">
        <f>TEXT(ventasdiarias[[#This Row],[Fecha]],"dddd")</f>
        <v>martes</v>
      </c>
      <c r="D19" s="74">
        <v>25.48</v>
      </c>
      <c r="E19" s="75">
        <v>130.49</v>
      </c>
      <c r="F19" s="75">
        <v>25</v>
      </c>
      <c r="G19" s="75">
        <v>0</v>
      </c>
      <c r="H19" s="75">
        <v>216</v>
      </c>
      <c r="I19" s="75">
        <v>0</v>
      </c>
      <c r="J19" s="75">
        <v>0</v>
      </c>
      <c r="K1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216.98116169544741</v>
      </c>
      <c r="L19" s="78"/>
    </row>
    <row r="20" spans="2:12" x14ac:dyDescent="0.3">
      <c r="B20" s="77">
        <v>45061</v>
      </c>
      <c r="C20" s="74" t="str">
        <f>TEXT(ventasdiarias[[#This Row],[Fecha]],"dddd")</f>
        <v>lunes</v>
      </c>
      <c r="D20" s="74">
        <v>25.43</v>
      </c>
      <c r="E20" s="75">
        <v>101.47</v>
      </c>
      <c r="F20" s="75">
        <v>150</v>
      </c>
      <c r="G20" s="75">
        <v>0</v>
      </c>
      <c r="H20" s="75">
        <v>133</v>
      </c>
      <c r="I20" s="75">
        <v>0</v>
      </c>
      <c r="J20" s="75">
        <v>1017.25</v>
      </c>
      <c r="K2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178.90051120723555</v>
      </c>
      <c r="L20" s="78"/>
    </row>
    <row r="21" spans="2:12" x14ac:dyDescent="0.3">
      <c r="B21" s="77">
        <v>45059</v>
      </c>
      <c r="C21" s="74" t="str">
        <f>TEXT(ventasdiarias[[#This Row],[Fecha]],"dddd")</f>
        <v>sábado</v>
      </c>
      <c r="D21" s="74">
        <v>25.17</v>
      </c>
      <c r="E21" s="75">
        <v>75.7</v>
      </c>
      <c r="F21" s="75">
        <v>0</v>
      </c>
      <c r="G21" s="75">
        <v>2339.56</v>
      </c>
      <c r="H21" s="75">
        <v>27</v>
      </c>
      <c r="I21" s="75">
        <v>0</v>
      </c>
      <c r="J21" s="75">
        <v>381.45</v>
      </c>
      <c r="K2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135.10528406833532</v>
      </c>
      <c r="L21" s="78"/>
    </row>
    <row r="22" spans="2:12" x14ac:dyDescent="0.3">
      <c r="B22" s="77">
        <v>45058</v>
      </c>
      <c r="C22" s="74" t="str">
        <f>TEXT(ventasdiarias[[#This Row],[Fecha]],"dddd")</f>
        <v>viernes</v>
      </c>
      <c r="D22" s="74">
        <v>25.17</v>
      </c>
      <c r="E22" s="75">
        <v>22.02</v>
      </c>
      <c r="F22" s="99">
        <v>50</v>
      </c>
      <c r="G22" s="99">
        <v>886.9</v>
      </c>
      <c r="H22" s="99">
        <v>5</v>
      </c>
      <c r="I22" s="99">
        <v>0</v>
      </c>
      <c r="J22" s="99">
        <v>73.25</v>
      </c>
      <c r="K2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45.133094954310685</v>
      </c>
      <c r="L22" s="78"/>
    </row>
    <row r="23" spans="2:12" x14ac:dyDescent="0.3">
      <c r="B23" s="77">
        <v>45057</v>
      </c>
      <c r="C23" s="74" t="str">
        <f>TEXT(ventasdiarias[[#This Row],[Fecha]],"dddd")</f>
        <v>jueves</v>
      </c>
      <c r="D23" s="74">
        <v>25.17</v>
      </c>
      <c r="E23" s="75">
        <v>220.09</v>
      </c>
      <c r="F23" s="75">
        <v>377</v>
      </c>
      <c r="G23" s="75">
        <v>0</v>
      </c>
      <c r="H23" s="75">
        <v>294</v>
      </c>
      <c r="I23" s="75">
        <v>0</v>
      </c>
      <c r="J23" s="75">
        <v>501</v>
      </c>
      <c r="K2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328.88279698053236</v>
      </c>
      <c r="L23" s="78"/>
    </row>
    <row r="24" spans="2:12" x14ac:dyDescent="0.3">
      <c r="B24" s="77">
        <v>45056</v>
      </c>
      <c r="C24" s="74" t="str">
        <f>TEXT(ventasdiarias[[#This Row],[Fecha]],"dddd")</f>
        <v>miércoles</v>
      </c>
      <c r="D24" s="74">
        <v>25.1</v>
      </c>
      <c r="E24" s="75">
        <v>64.7</v>
      </c>
      <c r="F24" s="75">
        <v>100</v>
      </c>
      <c r="G24" s="75">
        <v>1582</v>
      </c>
      <c r="H24" s="75">
        <v>45</v>
      </c>
      <c r="I24" s="75">
        <v>0</v>
      </c>
      <c r="J24" s="75">
        <v>175.84</v>
      </c>
      <c r="K2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119.01752988047808</v>
      </c>
      <c r="L24" s="78"/>
    </row>
    <row r="25" spans="2:12" x14ac:dyDescent="0.3">
      <c r="B25" s="77">
        <v>45055</v>
      </c>
      <c r="C25" s="74" t="str">
        <f>TEXT(ventasdiarias[[#This Row],[Fecha]],"dddd")</f>
        <v>martes</v>
      </c>
      <c r="D25" s="74">
        <v>25.03</v>
      </c>
      <c r="E25" s="75">
        <v>27.9</v>
      </c>
      <c r="F25" s="75">
        <v>0</v>
      </c>
      <c r="G25" s="75">
        <v>0</v>
      </c>
      <c r="H25" s="75">
        <v>25</v>
      </c>
      <c r="I25" s="75">
        <v>0</v>
      </c>
      <c r="J25" s="75">
        <v>714</v>
      </c>
      <c r="K2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53.525769077107469</v>
      </c>
      <c r="L25" s="78"/>
    </row>
    <row r="26" spans="2:12" x14ac:dyDescent="0.3">
      <c r="B26" s="77">
        <v>45054</v>
      </c>
      <c r="C26" s="74" t="str">
        <f>TEXT(ventasdiarias[[#This Row],[Fecha]],"dddd")</f>
        <v>lunes</v>
      </c>
      <c r="D26" s="74">
        <v>25.5</v>
      </c>
      <c r="E26" s="75">
        <v>64.709999999999994</v>
      </c>
      <c r="F26" s="75">
        <v>125</v>
      </c>
      <c r="G26" s="75">
        <v>1180.23</v>
      </c>
      <c r="H26" s="75">
        <v>175</v>
      </c>
      <c r="I26" s="75">
        <v>0</v>
      </c>
      <c r="J26" s="75">
        <v>331.5</v>
      </c>
      <c r="K2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239.18549019607843</v>
      </c>
      <c r="L26" s="78"/>
    </row>
    <row r="27" spans="2:12" x14ac:dyDescent="0.3">
      <c r="B27" s="77">
        <v>45052</v>
      </c>
      <c r="C27" s="74" t="str">
        <f>TEXT(ventasdiarias[[#This Row],[Fecha]],"dddd")</f>
        <v>sábado</v>
      </c>
      <c r="D27" s="47">
        <v>25.05</v>
      </c>
      <c r="E27" s="75">
        <v>16.579999999999998</v>
      </c>
      <c r="F27" s="75">
        <v>0</v>
      </c>
      <c r="G27" s="75">
        <v>125</v>
      </c>
      <c r="H27" s="75">
        <v>31</v>
      </c>
      <c r="I27" s="75">
        <v>0</v>
      </c>
      <c r="J27" s="75">
        <v>150.54</v>
      </c>
      <c r="K2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41.999600798403193</v>
      </c>
      <c r="L27" s="78"/>
    </row>
    <row r="28" spans="2:12" x14ac:dyDescent="0.3">
      <c r="B28" s="77">
        <v>45051</v>
      </c>
      <c r="C28" s="74" t="str">
        <f>TEXT(ventasdiarias[[#This Row],[Fecha]],"dddd")</f>
        <v>viernes</v>
      </c>
      <c r="D28" s="47">
        <v>25.05</v>
      </c>
      <c r="E28" s="74">
        <v>57</v>
      </c>
      <c r="F28" s="75">
        <v>250</v>
      </c>
      <c r="G28" s="75">
        <v>0</v>
      </c>
      <c r="H28" s="75">
        <v>95</v>
      </c>
      <c r="I28" s="75">
        <v>0</v>
      </c>
      <c r="J28" s="75">
        <v>0</v>
      </c>
      <c r="K2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104.98003992015968</v>
      </c>
      <c r="L28" s="78"/>
    </row>
    <row r="29" spans="2:12" x14ac:dyDescent="0.3">
      <c r="B29" s="77">
        <v>45050</v>
      </c>
      <c r="C29" s="74" t="str">
        <f>TEXT(ventasdiarias[[#This Row],[Fecha]],"dddd")</f>
        <v>jueves</v>
      </c>
      <c r="D29" s="74">
        <v>24.87</v>
      </c>
      <c r="E29" s="75">
        <v>38.19</v>
      </c>
      <c r="F29" s="75">
        <v>0</v>
      </c>
      <c r="G29" s="75">
        <v>621.75</v>
      </c>
      <c r="H29" s="75">
        <v>46</v>
      </c>
      <c r="I29" s="75">
        <v>0</v>
      </c>
      <c r="J29" s="75">
        <v>0</v>
      </c>
      <c r="K2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71</v>
      </c>
      <c r="L29" s="78"/>
    </row>
    <row r="30" spans="2:12" x14ac:dyDescent="0.3">
      <c r="B30" s="77">
        <v>45049</v>
      </c>
      <c r="C30" s="74" t="str">
        <f>TEXT(ventasdiarias[[#This Row],[Fecha]],"dddd")</f>
        <v>miércoles</v>
      </c>
      <c r="D30" s="74">
        <v>24.81</v>
      </c>
      <c r="E30" s="75">
        <v>91.26</v>
      </c>
      <c r="F30" s="75">
        <v>50</v>
      </c>
      <c r="G30" s="75">
        <v>0</v>
      </c>
      <c r="H30" s="75">
        <v>140</v>
      </c>
      <c r="I30" s="75">
        <v>0</v>
      </c>
      <c r="J30" s="75">
        <v>0</v>
      </c>
      <c r="K3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142.01531640467553</v>
      </c>
      <c r="L30" s="78"/>
    </row>
    <row r="31" spans="2:12" x14ac:dyDescent="0.3">
      <c r="B31" s="77">
        <v>45048</v>
      </c>
      <c r="C31" s="74" t="str">
        <f>TEXT(ventasdiarias[[#This Row],[Fecha]],"dddd")</f>
        <v>martes</v>
      </c>
      <c r="D31" s="74">
        <v>24.75</v>
      </c>
      <c r="E31" s="75">
        <v>68.97</v>
      </c>
      <c r="F31" s="75">
        <v>0</v>
      </c>
      <c r="G31" s="75">
        <v>0</v>
      </c>
      <c r="H31" s="75">
        <v>123</v>
      </c>
      <c r="I31" s="75">
        <v>0</v>
      </c>
      <c r="J31" s="75">
        <v>0</v>
      </c>
      <c r="K3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123</v>
      </c>
      <c r="L31" s="78"/>
    </row>
    <row r="32" spans="2:12" x14ac:dyDescent="0.3">
      <c r="B32" s="77">
        <v>45047</v>
      </c>
      <c r="C32" s="74" t="str">
        <f>TEXT(ventasdiarias[[#This Row],[Fecha]],"dddd")</f>
        <v>lunes</v>
      </c>
      <c r="D32" s="74">
        <v>24.73</v>
      </c>
      <c r="E32" s="74">
        <v>66.099999999999994</v>
      </c>
      <c r="F32" s="75">
        <v>3</v>
      </c>
      <c r="G32" s="75">
        <v>0</v>
      </c>
      <c r="H32" s="75">
        <v>108</v>
      </c>
      <c r="I32" s="75">
        <v>20</v>
      </c>
      <c r="J32" s="75">
        <v>0</v>
      </c>
      <c r="K3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128.12131014961585</v>
      </c>
      <c r="L32" s="78"/>
    </row>
    <row r="33" spans="2:12" x14ac:dyDescent="0.3">
      <c r="B33" s="77">
        <v>45046</v>
      </c>
      <c r="C33" s="74" t="str">
        <f>TEXT(ventasdiarias[[#This Row],[Fecha]],"dddd")</f>
        <v>domingo</v>
      </c>
      <c r="D33" s="74">
        <v>24.71</v>
      </c>
      <c r="E33" s="75"/>
      <c r="F33" s="75"/>
      <c r="G33" s="75"/>
      <c r="H33" s="75"/>
      <c r="I33" s="75"/>
      <c r="J33" s="75"/>
      <c r="K3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33" s="78"/>
    </row>
    <row r="34" spans="2:12" x14ac:dyDescent="0.3">
      <c r="B34" s="77">
        <v>45045</v>
      </c>
      <c r="C34" s="74" t="str">
        <f>TEXT(ventasdiarias[[#This Row],[Fecha]],"dddd")</f>
        <v>sábado</v>
      </c>
      <c r="D34" s="74">
        <v>24.71</v>
      </c>
      <c r="E34" s="75">
        <v>70.78</v>
      </c>
      <c r="F34" s="75"/>
      <c r="G34" s="75">
        <v>370.95</v>
      </c>
      <c r="H34" s="75">
        <v>105</v>
      </c>
      <c r="I34" s="75"/>
      <c r="J34" s="75"/>
      <c r="K3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120.01214083367057</v>
      </c>
      <c r="L34" s="78"/>
    </row>
    <row r="35" spans="2:12" x14ac:dyDescent="0.3">
      <c r="B35" s="77">
        <v>45044</v>
      </c>
      <c r="C35" s="74" t="str">
        <f>TEXT(ventasdiarias[[#This Row],[Fecha]],"dddd")</f>
        <v>viernes</v>
      </c>
      <c r="D35" s="74">
        <v>24.65</v>
      </c>
      <c r="E35" s="75">
        <v>128.94</v>
      </c>
      <c r="F35" s="75">
        <v>130</v>
      </c>
      <c r="G35" s="75"/>
      <c r="H35" s="75">
        <v>210</v>
      </c>
      <c r="I35" s="75"/>
      <c r="J35" s="75">
        <v>247.3</v>
      </c>
      <c r="K3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225.30628803245438</v>
      </c>
      <c r="L35" s="78"/>
    </row>
    <row r="36" spans="2:12" x14ac:dyDescent="0.3">
      <c r="B36" s="77">
        <v>45043</v>
      </c>
      <c r="C36" s="74" t="str">
        <f>TEXT(ventasdiarias[[#This Row],[Fecha]],"dddd")</f>
        <v>jueves</v>
      </c>
      <c r="D36" s="74">
        <v>24.63</v>
      </c>
      <c r="E36" s="75">
        <v>53.41</v>
      </c>
      <c r="F36" s="75">
        <v>415.2</v>
      </c>
      <c r="G36" s="75"/>
      <c r="H36" s="75">
        <v>26</v>
      </c>
      <c r="I36" s="75"/>
      <c r="J36" s="75">
        <v>492.65</v>
      </c>
      <c r="K3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62.859520909460009</v>
      </c>
      <c r="L36" s="78"/>
    </row>
    <row r="37" spans="2:12" x14ac:dyDescent="0.3">
      <c r="B37" s="77">
        <v>45042</v>
      </c>
      <c r="C37" s="74" t="str">
        <f>TEXT(ventasdiarias[[#This Row],[Fecha]],"dddd")</f>
        <v>miércoles</v>
      </c>
      <c r="D37" s="74">
        <v>24.65</v>
      </c>
      <c r="E37" s="75">
        <v>17.34</v>
      </c>
      <c r="F37" s="75"/>
      <c r="G37" s="75"/>
      <c r="H37" s="75">
        <v>31</v>
      </c>
      <c r="I37" s="75"/>
      <c r="J37" s="75"/>
      <c r="K3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31</v>
      </c>
      <c r="L37" s="78"/>
    </row>
    <row r="38" spans="2:12" x14ac:dyDescent="0.3">
      <c r="B38" s="77">
        <v>45041</v>
      </c>
      <c r="C38" s="74" t="str">
        <f>TEXT(ventasdiarias[[#This Row],[Fecha]],"dddd")</f>
        <v>martes</v>
      </c>
      <c r="D38" s="74">
        <v>24.65</v>
      </c>
      <c r="E38" s="75">
        <v>62.02</v>
      </c>
      <c r="F38" s="75"/>
      <c r="G38" s="75">
        <v>689.08</v>
      </c>
      <c r="H38" s="75">
        <v>89</v>
      </c>
      <c r="I38" s="75"/>
      <c r="J38" s="75"/>
      <c r="K3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116.95456389452333</v>
      </c>
      <c r="L38" s="78"/>
    </row>
    <row r="39" spans="2:12" x14ac:dyDescent="0.3">
      <c r="B39" s="77">
        <v>45040</v>
      </c>
      <c r="C39" s="74" t="str">
        <f>TEXT(ventasdiarias[[#This Row],[Fecha]],"dddd")</f>
        <v>lunes</v>
      </c>
      <c r="D39" s="74">
        <v>24.67</v>
      </c>
      <c r="E39" s="75">
        <v>52.08</v>
      </c>
      <c r="F39" s="75"/>
      <c r="G39" s="75">
        <v>986</v>
      </c>
      <c r="H39" s="75">
        <v>47</v>
      </c>
      <c r="I39" s="75"/>
      <c r="J39" s="75"/>
      <c r="K3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86.967571949736509</v>
      </c>
      <c r="L39" s="78"/>
    </row>
    <row r="40" spans="2:12" x14ac:dyDescent="0.3">
      <c r="B40" s="77">
        <v>45038</v>
      </c>
      <c r="C40" s="74" t="str">
        <f>TEXT(ventasdiarias[[#This Row],[Fecha]],"dddd")</f>
        <v>sábado</v>
      </c>
      <c r="D40" s="74">
        <v>24.57</v>
      </c>
      <c r="E40" s="75">
        <v>38.44</v>
      </c>
      <c r="F40" s="75"/>
      <c r="G40" s="75"/>
      <c r="H40" s="75">
        <v>85</v>
      </c>
      <c r="I40" s="75"/>
      <c r="J40" s="75"/>
      <c r="K4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85</v>
      </c>
      <c r="L40" s="78"/>
    </row>
    <row r="41" spans="2:12" x14ac:dyDescent="0.3">
      <c r="B41" s="77">
        <v>45037</v>
      </c>
      <c r="C41" s="74" t="str">
        <f>TEXT(ventasdiarias[[#This Row],[Fecha]],"dddd")</f>
        <v>viernes</v>
      </c>
      <c r="D41" s="74">
        <v>24.57</v>
      </c>
      <c r="E41" s="75">
        <v>-56.33</v>
      </c>
      <c r="F41" s="75"/>
      <c r="G41" s="75"/>
      <c r="H41" s="75">
        <v>103</v>
      </c>
      <c r="I41" s="75"/>
      <c r="J41" s="75"/>
      <c r="K4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103</v>
      </c>
      <c r="L41" s="78"/>
    </row>
    <row r="42" spans="2:12" x14ac:dyDescent="0.3">
      <c r="B42" s="77">
        <v>45036</v>
      </c>
      <c r="C42" s="74" t="str">
        <f>TEXT(ventasdiarias[[#This Row],[Fecha]],"dddd")</f>
        <v>jueves</v>
      </c>
      <c r="D42" s="74">
        <v>24.57</v>
      </c>
      <c r="E42" s="75">
        <v>28.5</v>
      </c>
      <c r="F42" s="75">
        <v>122</v>
      </c>
      <c r="G42" s="75"/>
      <c r="H42" s="75">
        <v>45</v>
      </c>
      <c r="I42" s="75"/>
      <c r="J42" s="75"/>
      <c r="K4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49.965404965404964</v>
      </c>
      <c r="L42" s="78"/>
    </row>
    <row r="43" spans="2:12" x14ac:dyDescent="0.3">
      <c r="B43" s="77">
        <v>45035</v>
      </c>
      <c r="C43" s="74" t="str">
        <f>TEXT(ventasdiarias[[#This Row],[Fecha]],"dddd")</f>
        <v>miércoles</v>
      </c>
      <c r="D43" s="74">
        <v>24.57</v>
      </c>
      <c r="E43" s="75">
        <v>104.87</v>
      </c>
      <c r="F43" s="75">
        <v>73</v>
      </c>
      <c r="G43" s="75"/>
      <c r="H43" s="75">
        <v>138</v>
      </c>
      <c r="I43" s="75"/>
      <c r="J43" s="75">
        <v>786.24</v>
      </c>
      <c r="K4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172.97110297110297</v>
      </c>
      <c r="L43" s="78"/>
    </row>
    <row r="44" spans="2:12" x14ac:dyDescent="0.3">
      <c r="B44" s="77">
        <v>45034</v>
      </c>
      <c r="C44" s="74" t="str">
        <f>TEXT(ventasdiarias[[#This Row],[Fecha]],"dddd")</f>
        <v>martes</v>
      </c>
      <c r="D44" s="74">
        <v>24.56</v>
      </c>
      <c r="E44" s="75"/>
      <c r="F44" s="75"/>
      <c r="G44" s="75"/>
      <c r="H44" s="75"/>
      <c r="I44" s="75"/>
      <c r="J44" s="75"/>
      <c r="K4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44" s="78"/>
    </row>
    <row r="45" spans="2:12" x14ac:dyDescent="0.3">
      <c r="B45" s="77">
        <v>45033</v>
      </c>
      <c r="C45" s="74" t="str">
        <f>TEXT(ventasdiarias[[#This Row],[Fecha]],"dddd")</f>
        <v>lunes</v>
      </c>
      <c r="D45" s="74">
        <v>24.57</v>
      </c>
      <c r="E45" s="75">
        <v>139.82</v>
      </c>
      <c r="F45" s="75">
        <v>69</v>
      </c>
      <c r="G45" s="75"/>
      <c r="H45" s="75">
        <v>255</v>
      </c>
      <c r="I45" s="75"/>
      <c r="J45" s="75"/>
      <c r="K4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257.80830280830281</v>
      </c>
      <c r="L45" s="78"/>
    </row>
    <row r="46" spans="2:12" x14ac:dyDescent="0.3">
      <c r="B46" s="77">
        <v>45031</v>
      </c>
      <c r="C46" s="74" t="str">
        <f>TEXT(ventasdiarias[[#This Row],[Fecha]],"dddd")</f>
        <v>sábado</v>
      </c>
      <c r="D46" s="74">
        <v>24.54</v>
      </c>
      <c r="E46" s="75">
        <v>293</v>
      </c>
      <c r="F46" s="75"/>
      <c r="G46" s="75">
        <v>1593.05</v>
      </c>
      <c r="H46" s="75">
        <v>450</v>
      </c>
      <c r="I46" s="75"/>
      <c r="J46" s="75"/>
      <c r="K4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514.91646291768541</v>
      </c>
      <c r="L46" s="78"/>
    </row>
    <row r="47" spans="2:12" x14ac:dyDescent="0.3">
      <c r="B47" s="77">
        <v>45030</v>
      </c>
      <c r="C47" s="74" t="str">
        <f>TEXT(ventasdiarias[[#This Row],[Fecha]],"dddd")</f>
        <v>viernes</v>
      </c>
      <c r="D47" s="74">
        <v>24.54</v>
      </c>
      <c r="E47" s="75">
        <v>99.59</v>
      </c>
      <c r="F47" s="75"/>
      <c r="G47" s="75">
        <v>540.4</v>
      </c>
      <c r="H47" s="75">
        <v>206</v>
      </c>
      <c r="I47" s="75"/>
      <c r="J47" s="75"/>
      <c r="K4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228.02118989405054</v>
      </c>
      <c r="L47" s="78"/>
    </row>
    <row r="48" spans="2:12" x14ac:dyDescent="0.3">
      <c r="B48" s="77">
        <v>45029</v>
      </c>
      <c r="C48" s="74" t="str">
        <f>TEXT(ventasdiarias[[#This Row],[Fecha]],"dddd")</f>
        <v>jueves</v>
      </c>
      <c r="D48" s="74">
        <v>24.48</v>
      </c>
      <c r="E48" s="75">
        <v>17.53</v>
      </c>
      <c r="F48" s="75"/>
      <c r="G48" s="75"/>
      <c r="H48" s="75">
        <v>10</v>
      </c>
      <c r="I48" s="75"/>
      <c r="J48" s="75"/>
      <c r="K4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</v>
      </c>
      <c r="L48" s="78"/>
    </row>
    <row r="49" spans="2:12" x14ac:dyDescent="0.3">
      <c r="B49" s="77">
        <v>45028</v>
      </c>
      <c r="C49" s="74" t="str">
        <f>TEXT(ventasdiarias[[#This Row],[Fecha]],"dddd")</f>
        <v>miércoles</v>
      </c>
      <c r="D49" s="74">
        <v>24.39</v>
      </c>
      <c r="E49" s="75">
        <v>10.199999999999999</v>
      </c>
      <c r="F49" s="75"/>
      <c r="G49" s="75"/>
      <c r="H49" s="75">
        <v>20</v>
      </c>
      <c r="I49" s="75"/>
      <c r="J49" s="75"/>
      <c r="K4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20</v>
      </c>
      <c r="L49" s="78"/>
    </row>
    <row r="50" spans="2:12" x14ac:dyDescent="0.3">
      <c r="B50" s="77">
        <v>45027</v>
      </c>
      <c r="C50" s="74" t="str">
        <f>TEXT(ventasdiarias[[#This Row],[Fecha]],"dddd")</f>
        <v>martes</v>
      </c>
      <c r="D50" s="74">
        <v>24.39</v>
      </c>
      <c r="E50" s="75">
        <v>65.69</v>
      </c>
      <c r="F50" s="75">
        <v>0</v>
      </c>
      <c r="G50" s="75">
        <v>0</v>
      </c>
      <c r="H50" s="75">
        <v>120</v>
      </c>
      <c r="I50" s="75">
        <v>0</v>
      </c>
      <c r="J50" s="75">
        <v>122.4</v>
      </c>
      <c r="K5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125.01845018450184</v>
      </c>
      <c r="L50" s="78"/>
    </row>
    <row r="51" spans="2:12" x14ac:dyDescent="0.3">
      <c r="B51" s="77">
        <v>45026</v>
      </c>
      <c r="C51" s="74" t="str">
        <f>TEXT(ventasdiarias[[#This Row],[Fecha]],"dddd")</f>
        <v>lunes</v>
      </c>
      <c r="D51" s="74">
        <v>24.44</v>
      </c>
      <c r="E51" s="75">
        <v>128.73999999999998</v>
      </c>
      <c r="F51" s="75">
        <v>0</v>
      </c>
      <c r="G51" s="75">
        <v>122</v>
      </c>
      <c r="H51" s="75">
        <v>243</v>
      </c>
      <c r="I51" s="75">
        <v>0</v>
      </c>
      <c r="J51" s="75">
        <v>0</v>
      </c>
      <c r="K5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247.99181669394434</v>
      </c>
      <c r="L51" s="78"/>
    </row>
    <row r="52" spans="2:12" x14ac:dyDescent="0.3">
      <c r="B52" s="77">
        <v>45021</v>
      </c>
      <c r="C52" s="74" t="str">
        <f>TEXT(ventasdiarias[[#This Row],[Fecha]],"dddd")</f>
        <v>miércoles</v>
      </c>
      <c r="D52" s="74">
        <v>24.44</v>
      </c>
      <c r="E52" s="75">
        <v>69.012</v>
      </c>
      <c r="F52" s="75">
        <v>0</v>
      </c>
      <c r="G52" s="75">
        <v>0</v>
      </c>
      <c r="H52" s="75">
        <v>120</v>
      </c>
      <c r="I52" s="75">
        <v>0</v>
      </c>
      <c r="J52" s="75">
        <v>0</v>
      </c>
      <c r="K5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120</v>
      </c>
      <c r="L52" s="78"/>
    </row>
    <row r="53" spans="2:12" x14ac:dyDescent="0.3">
      <c r="B53" s="77">
        <v>45020</v>
      </c>
      <c r="C53" s="74" t="str">
        <f>TEXT(ventasdiarias[[#This Row],[Fecha]],"dddd")</f>
        <v>martes</v>
      </c>
      <c r="D53" s="74">
        <v>24.48</v>
      </c>
      <c r="E53" s="75">
        <v>59.440000000000005</v>
      </c>
      <c r="F53" s="75">
        <v>0</v>
      </c>
      <c r="G53" s="75">
        <v>343.20000000000005</v>
      </c>
      <c r="H53" s="75">
        <v>95</v>
      </c>
      <c r="I53" s="75">
        <v>0</v>
      </c>
      <c r="J53" s="75">
        <v>0</v>
      </c>
      <c r="K5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109.01960784313725</v>
      </c>
      <c r="L53" s="78"/>
    </row>
    <row r="54" spans="2:12" x14ac:dyDescent="0.3">
      <c r="B54" s="77">
        <v>45019</v>
      </c>
      <c r="C54" s="74" t="str">
        <f>TEXT(ventasdiarias[[#This Row],[Fecha]],"dddd")</f>
        <v>lunes</v>
      </c>
      <c r="D54" s="74">
        <v>24.52</v>
      </c>
      <c r="E54" s="75">
        <v>105</v>
      </c>
      <c r="F54" s="75">
        <v>0</v>
      </c>
      <c r="G54" s="75">
        <v>147.19999999999999</v>
      </c>
      <c r="H54" s="75">
        <v>154</v>
      </c>
      <c r="I54" s="75">
        <v>0</v>
      </c>
      <c r="J54" s="75">
        <v>0</v>
      </c>
      <c r="K5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160.00326264274062</v>
      </c>
      <c r="L54" s="78"/>
    </row>
    <row r="55" spans="2:12" x14ac:dyDescent="0.3">
      <c r="B55" s="77">
        <v>45017</v>
      </c>
      <c r="C55" s="74" t="str">
        <f>TEXT(ventasdiarias[[#This Row],[Fecha]],"dddd")</f>
        <v>sábado</v>
      </c>
      <c r="D55" s="74">
        <v>24.5</v>
      </c>
      <c r="E55" s="75">
        <v>2.2999999999999998</v>
      </c>
      <c r="F55" s="75"/>
      <c r="G55" s="75"/>
      <c r="H55" s="75">
        <v>5.5</v>
      </c>
      <c r="I55" s="75"/>
      <c r="J55" s="75"/>
      <c r="K5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5.5</v>
      </c>
      <c r="L55" s="78"/>
    </row>
    <row r="56" spans="2:12" x14ac:dyDescent="0.3">
      <c r="B56" s="77">
        <v>45016</v>
      </c>
      <c r="C56" s="74" t="str">
        <f>TEXT(ventasdiarias[[#This Row],[Fecha]],"dddd")</f>
        <v>viernes</v>
      </c>
      <c r="D56" s="74">
        <v>24.48</v>
      </c>
      <c r="E56" s="75"/>
      <c r="F56" s="75"/>
      <c r="G56" s="75"/>
      <c r="H56" s="75"/>
      <c r="I56" s="75"/>
      <c r="J56" s="75"/>
      <c r="K5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56" s="78"/>
    </row>
    <row r="57" spans="2:12" x14ac:dyDescent="0.3">
      <c r="B57" s="77">
        <v>45015</v>
      </c>
      <c r="C57" s="74" t="str">
        <f>TEXT(ventasdiarias[[#This Row],[Fecha]],"dddd")</f>
        <v>jueves</v>
      </c>
      <c r="D57" s="74">
        <v>24.48</v>
      </c>
      <c r="E57" s="75">
        <v>23.9</v>
      </c>
      <c r="F57" s="75">
        <v>0</v>
      </c>
      <c r="G57" s="75">
        <v>0</v>
      </c>
      <c r="H57" s="75">
        <v>48</v>
      </c>
      <c r="I57" s="75">
        <v>0</v>
      </c>
      <c r="J57" s="75">
        <v>0</v>
      </c>
      <c r="K5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48</v>
      </c>
      <c r="L57" s="78"/>
    </row>
    <row r="58" spans="2:12" x14ac:dyDescent="0.3">
      <c r="B58" s="77">
        <v>45014</v>
      </c>
      <c r="C58" s="74" t="str">
        <f>TEXT(ventasdiarias[[#This Row],[Fecha]],"dddd")</f>
        <v>miércoles</v>
      </c>
      <c r="D58" s="74">
        <v>24.48</v>
      </c>
      <c r="E58" s="75">
        <v>12.45</v>
      </c>
      <c r="F58" s="75">
        <v>0</v>
      </c>
      <c r="G58" s="75">
        <v>0</v>
      </c>
      <c r="H58" s="75">
        <v>22.5</v>
      </c>
      <c r="I58" s="75">
        <v>0</v>
      </c>
      <c r="J58" s="75">
        <v>0</v>
      </c>
      <c r="K5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22.5</v>
      </c>
      <c r="L58" s="78"/>
    </row>
    <row r="59" spans="2:12" x14ac:dyDescent="0.3">
      <c r="B59" s="77">
        <v>45013</v>
      </c>
      <c r="C59" s="74" t="str">
        <f>TEXT(ventasdiarias[[#This Row],[Fecha]],"dddd")</f>
        <v>martes</v>
      </c>
      <c r="D59" s="74">
        <v>24.4</v>
      </c>
      <c r="E59" s="75">
        <v>47.07</v>
      </c>
      <c r="F59" s="75">
        <v>0</v>
      </c>
      <c r="G59" s="83">
        <v>0</v>
      </c>
      <c r="H59" s="75">
        <v>55</v>
      </c>
      <c r="I59" s="75">
        <v>0</v>
      </c>
      <c r="J59" s="83">
        <v>830</v>
      </c>
      <c r="K5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89.016393442622956</v>
      </c>
      <c r="L59" s="78"/>
    </row>
    <row r="60" spans="2:12" x14ac:dyDescent="0.3">
      <c r="B60" s="77">
        <v>45012</v>
      </c>
      <c r="C60" s="74" t="str">
        <f>TEXT(ventasdiarias[[#This Row],[Fecha]],"dddd")</f>
        <v>lunes</v>
      </c>
      <c r="D60" s="74">
        <v>24.4</v>
      </c>
      <c r="E60" s="75">
        <v>21.2</v>
      </c>
      <c r="F60" s="75">
        <v>0</v>
      </c>
      <c r="G60" s="83">
        <v>780</v>
      </c>
      <c r="H60" s="75">
        <v>10</v>
      </c>
      <c r="I60" s="75">
        <v>0</v>
      </c>
      <c r="J60" s="83">
        <v>0</v>
      </c>
      <c r="K6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41.967213114754102</v>
      </c>
      <c r="L60" s="78"/>
    </row>
    <row r="61" spans="2:12" x14ac:dyDescent="0.3">
      <c r="B61" s="77">
        <v>45011</v>
      </c>
      <c r="C61" s="74" t="str">
        <f>TEXT(ventasdiarias[[#This Row],[Fecha]],"dddd")</f>
        <v>domingo</v>
      </c>
      <c r="D61" s="74">
        <v>24.4</v>
      </c>
      <c r="E61" s="75"/>
      <c r="F61" s="75"/>
      <c r="G61" s="75"/>
      <c r="H61" s="75"/>
      <c r="I61" s="75"/>
      <c r="J61" s="75"/>
      <c r="K6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61" s="78"/>
    </row>
    <row r="62" spans="2:12" x14ac:dyDescent="0.3">
      <c r="B62" s="77">
        <v>45010</v>
      </c>
      <c r="C62" s="74" t="str">
        <f>TEXT(ventasdiarias[[#This Row],[Fecha]],"dddd")</f>
        <v>sábado</v>
      </c>
      <c r="D62" s="74">
        <v>24.3</v>
      </c>
      <c r="E62" s="75">
        <v>113.41</v>
      </c>
      <c r="F62" s="75">
        <v>0</v>
      </c>
      <c r="G62" s="75">
        <v>0</v>
      </c>
      <c r="H62" s="75">
        <v>215</v>
      </c>
      <c r="I62" s="75">
        <v>0</v>
      </c>
      <c r="J62" s="75">
        <v>0</v>
      </c>
      <c r="K6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215</v>
      </c>
      <c r="L62" s="78"/>
    </row>
    <row r="63" spans="2:12" x14ac:dyDescent="0.3">
      <c r="B63" s="77">
        <v>45009</v>
      </c>
      <c r="C63" s="74" t="str">
        <f>TEXT(ventasdiarias[[#This Row],[Fecha]],"dddd")</f>
        <v>viernes</v>
      </c>
      <c r="D63" s="74">
        <v>24.3</v>
      </c>
      <c r="E63" s="75">
        <v>46.567999999999998</v>
      </c>
      <c r="F63" s="75">
        <v>0</v>
      </c>
      <c r="G63" s="75">
        <v>0</v>
      </c>
      <c r="H63" s="75">
        <v>152</v>
      </c>
      <c r="I63" s="75">
        <v>0</v>
      </c>
      <c r="J63" s="75">
        <v>0</v>
      </c>
      <c r="K6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152</v>
      </c>
      <c r="L63" s="78"/>
    </row>
    <row r="64" spans="2:12" x14ac:dyDescent="0.3">
      <c r="B64" s="77">
        <v>45008</v>
      </c>
      <c r="C64" s="74" t="str">
        <f>TEXT(ventasdiarias[[#This Row],[Fecha]],"dddd")</f>
        <v>jueves</v>
      </c>
      <c r="D64" s="74">
        <v>24.3</v>
      </c>
      <c r="E64" s="75"/>
      <c r="F64" s="75"/>
      <c r="G64" s="75"/>
      <c r="H64" s="75"/>
      <c r="I64" s="75"/>
      <c r="J64" s="75"/>
      <c r="K6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64" s="78"/>
    </row>
    <row r="65" spans="2:12" x14ac:dyDescent="0.3">
      <c r="B65" s="77">
        <v>45007</v>
      </c>
      <c r="C65" s="74" t="str">
        <f>TEXT(ventasdiarias[[#This Row],[Fecha]],"dddd")</f>
        <v>miércoles</v>
      </c>
      <c r="D65" s="74">
        <v>24.2</v>
      </c>
      <c r="E65" s="75">
        <v>2.88</v>
      </c>
      <c r="F65" s="75">
        <v>50</v>
      </c>
      <c r="G65" s="75">
        <v>0</v>
      </c>
      <c r="H65" s="75">
        <v>6</v>
      </c>
      <c r="I65" s="75">
        <v>0</v>
      </c>
      <c r="J65" s="75">
        <v>0</v>
      </c>
      <c r="K6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8.0661157024793386</v>
      </c>
      <c r="L65" s="78"/>
    </row>
    <row r="66" spans="2:12" x14ac:dyDescent="0.3">
      <c r="B66" s="77">
        <v>45006</v>
      </c>
      <c r="C66" s="74" t="str">
        <f>TEXT(ventasdiarias[[#This Row],[Fecha]],"dddd")</f>
        <v>martes</v>
      </c>
      <c r="D66" s="74">
        <v>24.2</v>
      </c>
      <c r="E66" s="75">
        <v>8.35</v>
      </c>
      <c r="F66" s="75"/>
      <c r="G66" s="75"/>
      <c r="H66" s="75">
        <v>30</v>
      </c>
      <c r="I66" s="75"/>
      <c r="J66" s="75"/>
      <c r="K6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30</v>
      </c>
      <c r="L66" s="78"/>
    </row>
    <row r="67" spans="2:12" x14ac:dyDescent="0.3">
      <c r="B67" s="77">
        <v>45005</v>
      </c>
      <c r="C67" s="74" t="str">
        <f>TEXT(ventasdiarias[[#This Row],[Fecha]],"dddd")</f>
        <v>lunes</v>
      </c>
      <c r="D67" s="74">
        <v>24.2</v>
      </c>
      <c r="E67" s="75">
        <v>36.799999999999997</v>
      </c>
      <c r="F67" s="75">
        <v>50</v>
      </c>
      <c r="G67" s="75">
        <v>242</v>
      </c>
      <c r="H67" s="75">
        <v>58</v>
      </c>
      <c r="I67" s="75">
        <v>0</v>
      </c>
      <c r="J67" s="75">
        <v>121</v>
      </c>
      <c r="K6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75.066115702479337</v>
      </c>
      <c r="L67" s="78"/>
    </row>
    <row r="68" spans="2:12" x14ac:dyDescent="0.3">
      <c r="B68" s="55">
        <v>45003</v>
      </c>
      <c r="C68" s="55" t="str">
        <f>TEXT(ventasdiarias[[#This Row],[Fecha]],"dddd")</f>
        <v>sábado</v>
      </c>
      <c r="D68" s="53">
        <v>24.06</v>
      </c>
      <c r="E68" s="54">
        <v>9.6</v>
      </c>
      <c r="F68" s="54"/>
      <c r="G68" s="54"/>
      <c r="H68" s="54">
        <v>20</v>
      </c>
      <c r="I68" s="54"/>
      <c r="J68" s="54"/>
      <c r="K6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20</v>
      </c>
      <c r="L68" s="79"/>
    </row>
    <row r="69" spans="2:12" x14ac:dyDescent="0.3">
      <c r="B69" s="55">
        <v>45002</v>
      </c>
      <c r="C69" s="55" t="str">
        <f>TEXT(ventasdiarias[[#This Row],[Fecha]],"dddd")</f>
        <v>viernes</v>
      </c>
      <c r="D69" s="53">
        <v>24.06</v>
      </c>
      <c r="E69" s="54"/>
      <c r="F69" s="54"/>
      <c r="G69" s="54"/>
      <c r="H69" s="54"/>
      <c r="I69" s="54"/>
      <c r="J69" s="54"/>
      <c r="K6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69" s="79"/>
    </row>
    <row r="70" spans="2:12" x14ac:dyDescent="0.3">
      <c r="B70" s="55">
        <v>45001</v>
      </c>
      <c r="C70" s="55" t="str">
        <f>TEXT(ventasdiarias[[#This Row],[Fecha]],"dddd")</f>
        <v>jueves</v>
      </c>
      <c r="D70" s="53">
        <v>24.06</v>
      </c>
      <c r="E70" s="54">
        <v>39.03</v>
      </c>
      <c r="F70" s="54">
        <v>120</v>
      </c>
      <c r="G70" s="54">
        <v>0</v>
      </c>
      <c r="H70" s="54">
        <v>75</v>
      </c>
      <c r="I70" s="54">
        <v>0</v>
      </c>
      <c r="J70" s="54">
        <v>360.07</v>
      </c>
      <c r="K7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94.953034081463016</v>
      </c>
      <c r="L70" s="79"/>
    </row>
    <row r="71" spans="2:12" x14ac:dyDescent="0.3">
      <c r="B71" s="55">
        <v>45000</v>
      </c>
      <c r="C71" s="55" t="str">
        <f>TEXT(ventasdiarias[[#This Row],[Fecha]],"dddd")</f>
        <v>miércoles</v>
      </c>
      <c r="D71" s="53">
        <v>24.06</v>
      </c>
      <c r="E71" s="54">
        <v>60.260000000000005</v>
      </c>
      <c r="F71" s="54"/>
      <c r="G71" s="54"/>
      <c r="H71" s="54">
        <v>115</v>
      </c>
      <c r="I71" s="54"/>
      <c r="J71" s="54"/>
      <c r="K7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115</v>
      </c>
      <c r="L71" s="79"/>
    </row>
    <row r="72" spans="2:12" x14ac:dyDescent="0.3">
      <c r="B72" s="55">
        <v>44999</v>
      </c>
      <c r="C72" s="55" t="str">
        <f>TEXT(ventasdiarias[[#This Row],[Fecha]],"dddd")</f>
        <v>martes</v>
      </c>
      <c r="D72" s="53">
        <v>24.14</v>
      </c>
      <c r="E72" s="54">
        <v>32.450000000000003</v>
      </c>
      <c r="F72" s="54"/>
      <c r="G72" s="54"/>
      <c r="H72" s="54">
        <v>70</v>
      </c>
      <c r="I72" s="54"/>
      <c r="J72" s="54"/>
      <c r="K7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70</v>
      </c>
      <c r="L72" s="79"/>
    </row>
    <row r="73" spans="2:12" x14ac:dyDescent="0.3">
      <c r="B73" s="55">
        <v>44998</v>
      </c>
      <c r="C73" s="55" t="str">
        <f>TEXT(ventasdiarias[[#This Row],[Fecha]],"dddd")</f>
        <v>lunes</v>
      </c>
      <c r="D73" s="53">
        <v>24.14</v>
      </c>
      <c r="E73" s="54">
        <v>31.9</v>
      </c>
      <c r="F73" s="54">
        <v>0</v>
      </c>
      <c r="G73" s="54">
        <v>0</v>
      </c>
      <c r="H73" s="54">
        <v>68</v>
      </c>
      <c r="I73" s="54">
        <v>0</v>
      </c>
      <c r="J73" s="54">
        <v>0</v>
      </c>
      <c r="K7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68</v>
      </c>
      <c r="L73" s="79"/>
    </row>
    <row r="74" spans="2:12" x14ac:dyDescent="0.3">
      <c r="B74" s="55">
        <v>44997</v>
      </c>
      <c r="C74" s="55" t="str">
        <f>TEXT(ventasdiarias[[#This Row],[Fecha]],"dddd")</f>
        <v>domingo</v>
      </c>
      <c r="D74" s="53">
        <v>24.13</v>
      </c>
      <c r="E74" s="54"/>
      <c r="F74" s="54"/>
      <c r="G74" s="54"/>
      <c r="H74" s="54"/>
      <c r="I74" s="54"/>
      <c r="J74" s="54"/>
      <c r="K7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74" s="79"/>
    </row>
    <row r="75" spans="2:12" x14ac:dyDescent="0.3">
      <c r="B75" s="55">
        <v>44996</v>
      </c>
      <c r="C75" s="55" t="str">
        <f>TEXT(ventasdiarias[[#This Row],[Fecha]],"dddd")</f>
        <v>sábado</v>
      </c>
      <c r="D75" s="53">
        <v>24.13</v>
      </c>
      <c r="E75" s="54">
        <v>51.79</v>
      </c>
      <c r="F75" s="54">
        <v>0</v>
      </c>
      <c r="G75" s="54">
        <v>0</v>
      </c>
      <c r="H75" s="54">
        <v>4</v>
      </c>
      <c r="I75" s="47">
        <v>70</v>
      </c>
      <c r="J75" s="54">
        <v>705.51</v>
      </c>
      <c r="K7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103.23787815996684</v>
      </c>
      <c r="L75" s="79"/>
    </row>
    <row r="76" spans="2:12" x14ac:dyDescent="0.3">
      <c r="B76" s="55">
        <v>44995</v>
      </c>
      <c r="C76" s="55" t="str">
        <f>TEXT(ventasdiarias[[#This Row],[Fecha]],"dddd")</f>
        <v>viernes</v>
      </c>
      <c r="D76" s="53">
        <v>24.13</v>
      </c>
      <c r="E76" s="54">
        <v>42.910000000000011</v>
      </c>
      <c r="F76" s="54">
        <v>0</v>
      </c>
      <c r="G76" s="54">
        <v>194.95999999999998</v>
      </c>
      <c r="H76" s="54">
        <v>97</v>
      </c>
      <c r="I76" s="54">
        <v>0</v>
      </c>
      <c r="J76" s="54">
        <v>0</v>
      </c>
      <c r="K7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105.07956900124327</v>
      </c>
      <c r="L76" s="79"/>
    </row>
    <row r="77" spans="2:12" x14ac:dyDescent="0.3">
      <c r="B77" s="55">
        <v>44994</v>
      </c>
      <c r="C77" s="55" t="str">
        <f>TEXT(ventasdiarias[[#This Row],[Fecha]],"dddd")</f>
        <v>jueves</v>
      </c>
      <c r="D77" s="53">
        <v>24.16</v>
      </c>
      <c r="E77" s="54">
        <v>14.25</v>
      </c>
      <c r="F77" s="54"/>
      <c r="G77" s="54"/>
      <c r="H77" s="54">
        <v>27</v>
      </c>
      <c r="I77" s="54"/>
      <c r="J77" s="54"/>
      <c r="K7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27</v>
      </c>
      <c r="L77" s="79"/>
    </row>
    <row r="78" spans="2:12" x14ac:dyDescent="0.3">
      <c r="B78" s="55">
        <v>44993</v>
      </c>
      <c r="C78" s="55" t="str">
        <f>TEXT(ventasdiarias[[#This Row],[Fecha]],"dddd")</f>
        <v>miércoles</v>
      </c>
      <c r="D78" s="53">
        <v>24.15</v>
      </c>
      <c r="E78" s="54">
        <v>76.099999999999994</v>
      </c>
      <c r="F78" s="54"/>
      <c r="G78" s="54"/>
      <c r="H78" s="54">
        <v>155</v>
      </c>
      <c r="I78" s="54"/>
      <c r="J78" s="54"/>
      <c r="K7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155</v>
      </c>
      <c r="L78" s="80"/>
    </row>
    <row r="79" spans="2:12" x14ac:dyDescent="0.3">
      <c r="B79" s="55">
        <v>44992</v>
      </c>
      <c r="C79" s="55" t="str">
        <f>TEXT(ventasdiarias[[#This Row],[Fecha]],"dddd")</f>
        <v>martes</v>
      </c>
      <c r="D79" s="53">
        <v>24.27</v>
      </c>
      <c r="E79" s="54">
        <v>79.38</v>
      </c>
      <c r="F79" s="54">
        <v>0</v>
      </c>
      <c r="G79" s="54">
        <v>0</v>
      </c>
      <c r="H79" s="54">
        <v>172</v>
      </c>
      <c r="I79" s="54">
        <v>0</v>
      </c>
      <c r="J79" s="54">
        <v>0</v>
      </c>
      <c r="K7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172</v>
      </c>
      <c r="L79" s="79"/>
    </row>
    <row r="80" spans="2:12" x14ac:dyDescent="0.3">
      <c r="B80" s="55">
        <v>44991</v>
      </c>
      <c r="C80" s="55" t="str">
        <f>TEXT(ventasdiarias[[#This Row],[Fecha]],"dddd")</f>
        <v>lunes</v>
      </c>
      <c r="D80" s="53">
        <v>24.31</v>
      </c>
      <c r="E80" s="54">
        <v>29.22</v>
      </c>
      <c r="F80" s="54">
        <v>0</v>
      </c>
      <c r="G80" s="54">
        <v>0</v>
      </c>
      <c r="H80" s="54">
        <v>25</v>
      </c>
      <c r="I80" s="54">
        <v>0</v>
      </c>
      <c r="J80" s="54">
        <v>828.24</v>
      </c>
      <c r="K8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59.069930069930074</v>
      </c>
      <c r="L80" s="79"/>
    </row>
    <row r="81" spans="2:12" x14ac:dyDescent="0.3">
      <c r="B81" s="55">
        <v>44990</v>
      </c>
      <c r="C81" s="55" t="str">
        <f>TEXT(ventasdiarias[[#This Row],[Fecha]],"dddd")</f>
        <v>domingo</v>
      </c>
      <c r="D81" s="53">
        <v>24.35</v>
      </c>
      <c r="E81" s="54"/>
      <c r="F81" s="54"/>
      <c r="G81" s="54"/>
      <c r="H81" s="54"/>
      <c r="I81" s="54"/>
      <c r="J81" s="54"/>
      <c r="K8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0</v>
      </c>
      <c r="L81" s="79"/>
    </row>
    <row r="82" spans="2:12" x14ac:dyDescent="0.3">
      <c r="B82" s="55">
        <v>44989</v>
      </c>
      <c r="C82" s="55" t="str">
        <f>TEXT(ventasdiarias[[#This Row],[Fecha]],"dddd")</f>
        <v>sábado</v>
      </c>
      <c r="D82" s="53">
        <v>24.35</v>
      </c>
      <c r="E82" s="54">
        <v>11.620000000000001</v>
      </c>
      <c r="F82" s="54">
        <v>0</v>
      </c>
      <c r="G82" s="54">
        <v>411.3</v>
      </c>
      <c r="H82" s="54">
        <v>10</v>
      </c>
      <c r="I82" s="72">
        <v>0</v>
      </c>
      <c r="J82" s="54">
        <v>0</v>
      </c>
      <c r="K8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26.891170431211499</v>
      </c>
      <c r="L82" s="79"/>
    </row>
    <row r="83" spans="2:12" x14ac:dyDescent="0.3">
      <c r="B83" s="55">
        <v>44988</v>
      </c>
      <c r="C83" s="55" t="str">
        <f>TEXT(ventasdiarias[[#This Row],[Fecha]],"dddd")</f>
        <v>viernes</v>
      </c>
      <c r="D83" s="53">
        <v>24.35</v>
      </c>
      <c r="E83" s="54">
        <v>164.55</v>
      </c>
      <c r="F83" s="54">
        <v>0</v>
      </c>
      <c r="G83" s="54">
        <v>0</v>
      </c>
      <c r="H83" s="54">
        <v>260.84000000000003</v>
      </c>
      <c r="I83" s="54">
        <v>0</v>
      </c>
      <c r="J83" s="54">
        <v>682.36</v>
      </c>
      <c r="K8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288.86299794661193</v>
      </c>
      <c r="L83" s="79"/>
    </row>
    <row r="84" spans="2:12" x14ac:dyDescent="0.3">
      <c r="B84" s="55">
        <v>44987</v>
      </c>
      <c r="C84" s="55" t="str">
        <f>TEXT(ventasdiarias[[#This Row],[Fecha]],"dddd")</f>
        <v>jueves</v>
      </c>
      <c r="D84" s="53">
        <v>24.35</v>
      </c>
      <c r="E84" s="54">
        <v>1.5</v>
      </c>
      <c r="F84" s="54">
        <v>0</v>
      </c>
      <c r="G84" s="54">
        <v>0</v>
      </c>
      <c r="H84" s="54">
        <v>0</v>
      </c>
      <c r="I84" s="54">
        <v>0</v>
      </c>
      <c r="J84" s="54">
        <v>73.11</v>
      </c>
      <c r="K8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3.0024640657084185</v>
      </c>
      <c r="L84" s="79"/>
    </row>
    <row r="85" spans="2:12" x14ac:dyDescent="0.3">
      <c r="B85" s="55">
        <v>44986</v>
      </c>
      <c r="C85" s="55" t="str">
        <f>TEXT(ventasdiarias[[#This Row],[Fecha]],"dddd")</f>
        <v>miércoles</v>
      </c>
      <c r="D85" s="53">
        <v>24.36</v>
      </c>
      <c r="E85" s="54">
        <v>100.43</v>
      </c>
      <c r="F85" s="54">
        <v>0</v>
      </c>
      <c r="G85" s="54">
        <v>0</v>
      </c>
      <c r="H85" s="54">
        <v>171</v>
      </c>
      <c r="I85" s="54">
        <v>0</v>
      </c>
      <c r="J85" s="54">
        <v>608.4</v>
      </c>
      <c r="K8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195.97536945812809</v>
      </c>
      <c r="L85" s="79"/>
    </row>
    <row r="86" spans="2:12" x14ac:dyDescent="0.3">
      <c r="B86" s="55">
        <v>44957</v>
      </c>
      <c r="C86" s="55" t="str">
        <f>TEXT(ventasdiarias[[#This Row],[Fecha]],"dddd")</f>
        <v>martes</v>
      </c>
      <c r="D86" s="53"/>
      <c r="E86" s="54">
        <v>-8.83</v>
      </c>
      <c r="F86" s="54"/>
      <c r="G86" s="54"/>
      <c r="H86" s="54">
        <v>-18</v>
      </c>
      <c r="I86" s="54"/>
      <c r="J86" s="54"/>
      <c r="K8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-18</v>
      </c>
      <c r="L86" s="79"/>
    </row>
    <row r="87" spans="2:12" x14ac:dyDescent="0.3">
      <c r="B87" s="55">
        <v>44957</v>
      </c>
      <c r="C87" s="55" t="str">
        <f>TEXT(ventasdiarias[[#This Row],[Fecha]],"dddd")</f>
        <v>martes</v>
      </c>
      <c r="D87" s="53">
        <v>21.95</v>
      </c>
      <c r="E87" s="54">
        <v>172.94</v>
      </c>
      <c r="F87" s="54"/>
      <c r="G87" s="54">
        <v>236.62</v>
      </c>
      <c r="H87" s="54">
        <v>238</v>
      </c>
      <c r="I87" s="54"/>
      <c r="J87" s="54">
        <v>236.62</v>
      </c>
      <c r="K8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259.55990888382689</v>
      </c>
      <c r="L87" s="79"/>
    </row>
    <row r="88" spans="2:12" x14ac:dyDescent="0.3">
      <c r="B88" s="55">
        <v>44956</v>
      </c>
      <c r="C88" s="55" t="str">
        <f>TEXT(ventasdiarias[[#This Row],[Fecha]],"dddd")</f>
        <v>lunes</v>
      </c>
      <c r="D88" s="53">
        <v>21.96</v>
      </c>
      <c r="E88" s="54">
        <v>163.66</v>
      </c>
      <c r="F88" s="54"/>
      <c r="G88" s="54">
        <v>153</v>
      </c>
      <c r="H88" s="54">
        <v>232</v>
      </c>
      <c r="I88" s="54"/>
      <c r="J88" s="54">
        <v>153</v>
      </c>
      <c r="K8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245.9344262295082</v>
      </c>
      <c r="L88" s="79"/>
    </row>
    <row r="89" spans="2:12" ht="14.4" x14ac:dyDescent="0.3">
      <c r="B89" s="55">
        <v>44954</v>
      </c>
      <c r="C89" s="55" t="str">
        <f>TEXT(ventasdiarias[[#This Row],[Fecha]],"dddd")</f>
        <v>sábado</v>
      </c>
      <c r="D89" s="88">
        <v>21.72</v>
      </c>
      <c r="E89" s="54">
        <v>9.7799999999999994</v>
      </c>
      <c r="F89" s="54"/>
      <c r="G89" s="54"/>
      <c r="H89" s="54">
        <v>19</v>
      </c>
      <c r="I89" s="54"/>
      <c r="J89" s="54"/>
      <c r="K8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19</v>
      </c>
      <c r="L89" s="79"/>
    </row>
    <row r="90" spans="2:12" ht="14.4" x14ac:dyDescent="0.3">
      <c r="B90" s="55">
        <v>44953</v>
      </c>
      <c r="C90" s="55" t="str">
        <f>TEXT(ventasdiarias[[#This Row],[Fecha]],"dddd")</f>
        <v>viernes</v>
      </c>
      <c r="D90" s="88">
        <v>21.72</v>
      </c>
      <c r="E90" s="54">
        <v>69.66</v>
      </c>
      <c r="F90" s="54"/>
      <c r="G90" s="54">
        <v>695.04</v>
      </c>
      <c r="H90" s="54">
        <v>98</v>
      </c>
      <c r="I90" s="54"/>
      <c r="J90" s="54">
        <v>695.04</v>
      </c>
      <c r="K9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162</v>
      </c>
      <c r="L90" s="79"/>
    </row>
    <row r="91" spans="2:12" ht="14.4" x14ac:dyDescent="0.3">
      <c r="B91" s="55">
        <v>44952</v>
      </c>
      <c r="C91" s="55" t="str">
        <f>TEXT(ventasdiarias[[#This Row],[Fecha]],"dddd")</f>
        <v>jueves</v>
      </c>
      <c r="D91" s="88">
        <v>21.31</v>
      </c>
      <c r="E91" s="54">
        <v>-3</v>
      </c>
      <c r="F91" s="54"/>
      <c r="G91" s="54">
        <v>-17.350000000000001</v>
      </c>
      <c r="H91" s="54">
        <v>-5</v>
      </c>
      <c r="I91" s="54"/>
      <c r="J91" s="54">
        <v>-17.350000000000001</v>
      </c>
      <c r="K9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-6.6283435007038953</v>
      </c>
      <c r="L91" s="79"/>
    </row>
    <row r="92" spans="2:12" ht="14.4" x14ac:dyDescent="0.3">
      <c r="B92" s="55">
        <v>44952</v>
      </c>
      <c r="C92" s="55" t="str">
        <f>TEXT(ventasdiarias[[#This Row],[Fecha]],"dddd")</f>
        <v>jueves</v>
      </c>
      <c r="D92" s="88">
        <v>21.31</v>
      </c>
      <c r="E92" s="54">
        <v>11.81</v>
      </c>
      <c r="F92" s="54"/>
      <c r="G92" s="54">
        <v>213.1</v>
      </c>
      <c r="H92" s="54">
        <v>14</v>
      </c>
      <c r="I92" s="54"/>
      <c r="J92" s="54">
        <v>213.1</v>
      </c>
      <c r="K9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34</v>
      </c>
      <c r="L92" s="79"/>
    </row>
    <row r="93" spans="2:12" ht="14.4" x14ac:dyDescent="0.3">
      <c r="B93" s="55">
        <v>44951</v>
      </c>
      <c r="C93" s="55" t="str">
        <f>TEXT(ventasdiarias[[#This Row],[Fecha]],"dddd")</f>
        <v>miércoles</v>
      </c>
      <c r="D93" s="88">
        <v>21.17</v>
      </c>
      <c r="E93" s="54">
        <v>68.400000000000006</v>
      </c>
      <c r="F93" s="54"/>
      <c r="G93" s="54">
        <v>225</v>
      </c>
      <c r="H93" s="54">
        <v>106</v>
      </c>
      <c r="I93" s="54"/>
      <c r="J93" s="54">
        <v>225</v>
      </c>
      <c r="K9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127.25649504015115</v>
      </c>
      <c r="L93" s="79"/>
    </row>
    <row r="94" spans="2:12" ht="14.4" x14ac:dyDescent="0.3">
      <c r="B94" s="55">
        <v>44950</v>
      </c>
      <c r="C94" s="55" t="str">
        <f>TEXT(ventasdiarias[[#This Row],[Fecha]],"dddd")</f>
        <v>martes</v>
      </c>
      <c r="D94" s="88">
        <v>20.73</v>
      </c>
      <c r="E94" s="54">
        <v>52.98</v>
      </c>
      <c r="F94" s="54"/>
      <c r="G94" s="54">
        <v>891.39</v>
      </c>
      <c r="H94" s="54">
        <v>81</v>
      </c>
      <c r="I94" s="54"/>
      <c r="J94" s="54">
        <v>891.39</v>
      </c>
      <c r="K9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167</v>
      </c>
      <c r="L94" s="79"/>
    </row>
    <row r="95" spans="2:12" x14ac:dyDescent="0.3">
      <c r="B95" s="55">
        <v>44949</v>
      </c>
      <c r="C95" s="55" t="str">
        <f>TEXT(ventasdiarias[[#This Row],[Fecha]],"dddd")</f>
        <v>lunes</v>
      </c>
      <c r="D95" s="53">
        <v>20.52</v>
      </c>
      <c r="E95" s="54">
        <v>7.68</v>
      </c>
      <c r="F95" s="54"/>
      <c r="G95" s="54">
        <f>9.87*ventasdiarias[[#This Row],[Tasa]]</f>
        <v>202.53239999999997</v>
      </c>
      <c r="H95" s="54">
        <v>14</v>
      </c>
      <c r="I95" s="54"/>
      <c r="J95" s="54">
        <f>9.87*ventasdiarias[[#This Row],[Tasa]]</f>
        <v>202.53239999999997</v>
      </c>
      <c r="K9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33.739999999999995</v>
      </c>
      <c r="L95" s="79"/>
    </row>
    <row r="96" spans="2:12" x14ac:dyDescent="0.3">
      <c r="B96" s="55">
        <v>44947</v>
      </c>
      <c r="C96" s="55" t="str">
        <f>TEXT(ventasdiarias[[#This Row],[Fecha]],"dddd")</f>
        <v>sábado</v>
      </c>
      <c r="D96" s="53">
        <v>20.52</v>
      </c>
      <c r="E96" s="54">
        <v>169.27</v>
      </c>
      <c r="F96" s="54"/>
      <c r="G96" s="54">
        <f>128*ventasdiarias[[#This Row],[Tasa]]</f>
        <v>2626.56</v>
      </c>
      <c r="H96" s="54">
        <v>206.4</v>
      </c>
      <c r="I96" s="54"/>
      <c r="J96" s="54">
        <f>128*ventasdiarias[[#This Row],[Tasa]]</f>
        <v>2626.56</v>
      </c>
      <c r="K9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462.4</v>
      </c>
      <c r="L96" s="79"/>
    </row>
    <row r="97" spans="2:12" x14ac:dyDescent="0.3">
      <c r="B97" s="55">
        <v>44946</v>
      </c>
      <c r="C97" s="55" t="str">
        <f>TEXT(ventasdiarias[[#This Row],[Fecha]],"dddd")</f>
        <v>viernes</v>
      </c>
      <c r="D97" s="53">
        <v>20.29</v>
      </c>
      <c r="E97" s="70">
        <v>8.36</v>
      </c>
      <c r="F97" s="72"/>
      <c r="G97" s="73">
        <v>405.8</v>
      </c>
      <c r="H97" s="71"/>
      <c r="I97" s="72"/>
      <c r="J97" s="73">
        <v>405.8</v>
      </c>
      <c r="K9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40</v>
      </c>
      <c r="L97" s="79"/>
    </row>
    <row r="98" spans="2:12" x14ac:dyDescent="0.3">
      <c r="B98" s="55">
        <v>44945</v>
      </c>
      <c r="C98" s="55" t="str">
        <f>TEXT(ventasdiarias[[#This Row],[Fecha]],"dddd")</f>
        <v>jueves</v>
      </c>
      <c r="D98" s="53">
        <v>19.98</v>
      </c>
      <c r="E98" s="70">
        <v>87.74</v>
      </c>
      <c r="F98" s="72"/>
      <c r="G98" s="73">
        <v>1205.58</v>
      </c>
      <c r="H98" s="71">
        <v>41</v>
      </c>
      <c r="I98" s="72">
        <v>57</v>
      </c>
      <c r="J98" s="73">
        <v>1205.58</v>
      </c>
      <c r="K9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218.67867867867866</v>
      </c>
      <c r="L98" s="79"/>
    </row>
    <row r="99" spans="2:12" x14ac:dyDescent="0.3">
      <c r="B99" s="55">
        <v>44944</v>
      </c>
      <c r="C99" s="55" t="str">
        <f>TEXT(ventasdiarias[[#This Row],[Fecha]],"dddd")</f>
        <v>miércoles</v>
      </c>
      <c r="D99" s="53">
        <v>19.98</v>
      </c>
      <c r="E99" s="70">
        <v>70.45</v>
      </c>
      <c r="F99" s="72"/>
      <c r="G99" s="73">
        <v>199.8</v>
      </c>
      <c r="H99" s="71">
        <v>70</v>
      </c>
      <c r="I99" s="72">
        <v>57.11</v>
      </c>
      <c r="J99" s="73">
        <v>199.8</v>
      </c>
      <c r="K9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147.11000000000001</v>
      </c>
      <c r="L99" s="79"/>
    </row>
    <row r="100" spans="2:12" x14ac:dyDescent="0.3">
      <c r="B100" s="55">
        <v>44943</v>
      </c>
      <c r="C100" s="55" t="str">
        <f>TEXT(ventasdiarias[[#This Row],[Fecha]],"dddd")</f>
        <v>martes</v>
      </c>
      <c r="D100" s="54">
        <v>19.66</v>
      </c>
      <c r="E100" s="70">
        <v>44.61</v>
      </c>
      <c r="F100" s="72"/>
      <c r="G100" s="73">
        <v>294.89999999999998</v>
      </c>
      <c r="H100" s="71">
        <v>77.25</v>
      </c>
      <c r="I100" s="72"/>
      <c r="J100" s="73">
        <v>294.89999999999998</v>
      </c>
      <c r="K10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107.25</v>
      </c>
      <c r="L100" s="79"/>
    </row>
    <row r="101" spans="2:12" x14ac:dyDescent="0.3">
      <c r="B101" s="55">
        <v>44942</v>
      </c>
      <c r="C101" s="55" t="str">
        <f>TEXT(ventasdiarias[[#This Row],[Fecha]],"dddd")</f>
        <v>lunes</v>
      </c>
      <c r="D101" s="54">
        <v>19.66</v>
      </c>
      <c r="E101" s="70">
        <v>85.48</v>
      </c>
      <c r="F101" s="72"/>
      <c r="G101" s="73">
        <v>373.54</v>
      </c>
      <c r="H101" s="71">
        <v>160</v>
      </c>
      <c r="I101" s="72"/>
      <c r="J101" s="73">
        <v>373.54</v>
      </c>
      <c r="K10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198</v>
      </c>
      <c r="L101" s="79"/>
    </row>
    <row r="102" spans="2:12" x14ac:dyDescent="0.3">
      <c r="B102" s="55">
        <v>44940</v>
      </c>
      <c r="C102" s="55" t="str">
        <f>TEXT(ventasdiarias[[#This Row],[Fecha]],"dddd")</f>
        <v>sábado</v>
      </c>
      <c r="D102" s="54">
        <v>19.45</v>
      </c>
      <c r="E102" s="70">
        <v>25.55</v>
      </c>
      <c r="F102" s="72"/>
      <c r="G102" s="73">
        <v>61.7</v>
      </c>
      <c r="H102" s="71">
        <v>47</v>
      </c>
      <c r="I102" s="72"/>
      <c r="J102" s="73">
        <v>61.7</v>
      </c>
      <c r="K10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53.344473007712082</v>
      </c>
      <c r="L102" s="79"/>
    </row>
    <row r="103" spans="2:12" x14ac:dyDescent="0.3">
      <c r="B103" s="55">
        <v>44939</v>
      </c>
      <c r="C103" s="55" t="str">
        <f>TEXT(ventasdiarias[[#This Row],[Fecha]],"dddd")</f>
        <v>viernes</v>
      </c>
      <c r="D103" s="54">
        <v>19.28</v>
      </c>
      <c r="E103" s="70">
        <v>52.99</v>
      </c>
      <c r="F103" s="72"/>
      <c r="G103" s="73">
        <v>404.88</v>
      </c>
      <c r="H103" s="71">
        <v>92.12</v>
      </c>
      <c r="I103" s="72"/>
      <c r="J103" s="73">
        <v>404.88</v>
      </c>
      <c r="K10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134.12</v>
      </c>
      <c r="L103" s="79"/>
    </row>
    <row r="104" spans="2:12" x14ac:dyDescent="0.3">
      <c r="B104" s="55">
        <v>44938</v>
      </c>
      <c r="C104" s="55" t="str">
        <f>TEXT(ventasdiarias[[#This Row],[Fecha]],"dddd")</f>
        <v>jueves</v>
      </c>
      <c r="D104" s="54">
        <v>19.28</v>
      </c>
      <c r="E104" s="70">
        <v>14.52</v>
      </c>
      <c r="F104" s="72"/>
      <c r="G104" s="73">
        <v>115.68</v>
      </c>
      <c r="H104" s="71">
        <v>25.4</v>
      </c>
      <c r="I104" s="72"/>
      <c r="J104" s="73">
        <v>115.68</v>
      </c>
      <c r="K10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37.4</v>
      </c>
      <c r="L104" s="79"/>
    </row>
    <row r="105" spans="2:12" x14ac:dyDescent="0.3">
      <c r="B105" s="55">
        <v>44937</v>
      </c>
      <c r="C105" s="55" t="str">
        <f>TEXT(ventasdiarias[[#This Row],[Fecha]],"dddd")</f>
        <v>miércoles</v>
      </c>
      <c r="D105" s="54">
        <v>18.61</v>
      </c>
      <c r="E105" s="70">
        <v>64.12</v>
      </c>
      <c r="F105" s="72"/>
      <c r="G105" s="73"/>
      <c r="H105" s="71">
        <v>140</v>
      </c>
      <c r="I105" s="72"/>
      <c r="J105" s="73"/>
      <c r="K10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140</v>
      </c>
      <c r="L105" s="79"/>
    </row>
    <row r="106" spans="2:12" x14ac:dyDescent="0.3">
      <c r="B106" s="55">
        <v>44936</v>
      </c>
      <c r="C106" s="55" t="str">
        <f>TEXT(ventasdiarias[[#This Row],[Fecha]],"dddd")</f>
        <v>martes</v>
      </c>
      <c r="D106" s="47">
        <v>18.61</v>
      </c>
      <c r="E106" s="70">
        <v>28.26</v>
      </c>
      <c r="F106" s="72"/>
      <c r="G106" s="73"/>
      <c r="H106" s="71">
        <v>78</v>
      </c>
      <c r="I106" s="72"/>
      <c r="J106" s="73"/>
      <c r="K10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78</v>
      </c>
      <c r="L106" s="79"/>
    </row>
    <row r="107" spans="2:12" x14ac:dyDescent="0.3">
      <c r="B107" s="55">
        <v>44935</v>
      </c>
      <c r="C107" s="55" t="str">
        <f>TEXT(ventasdiarias[[#This Row],[Fecha]],"dddd")</f>
        <v>lunes</v>
      </c>
      <c r="D107" s="47">
        <v>18.61</v>
      </c>
      <c r="E107" s="70">
        <v>18.36</v>
      </c>
      <c r="F107" s="72"/>
      <c r="G107" s="73">
        <v>130.27000000000001</v>
      </c>
      <c r="H107" s="71">
        <v>35</v>
      </c>
      <c r="I107" s="72"/>
      <c r="J107" s="73">
        <v>130.27000000000001</v>
      </c>
      <c r="K10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49</v>
      </c>
      <c r="L107" s="79"/>
    </row>
    <row r="108" spans="2:12" x14ac:dyDescent="0.3">
      <c r="B108" s="55">
        <v>44926</v>
      </c>
      <c r="C108" s="55" t="str">
        <f>TEXT(ventasdiarias[[#This Row],[Fecha]],"dddd")</f>
        <v>sábado</v>
      </c>
      <c r="D108" s="47">
        <v>17.489999999999998</v>
      </c>
      <c r="E108" s="70">
        <v>25.69</v>
      </c>
      <c r="F108" s="72"/>
      <c r="G108" s="73"/>
      <c r="H108" s="71">
        <v>40</v>
      </c>
      <c r="I108" s="72"/>
      <c r="J108" s="73"/>
      <c r="K10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40</v>
      </c>
      <c r="L108" s="79"/>
    </row>
    <row r="109" spans="2:12" x14ac:dyDescent="0.3">
      <c r="B109" s="55">
        <v>44925</v>
      </c>
      <c r="C109" s="55" t="str">
        <f>TEXT(ventasdiarias[[#This Row],[Fecha]],"dddd")</f>
        <v>viernes</v>
      </c>
      <c r="D109" s="54">
        <v>17.28</v>
      </c>
      <c r="E109" s="70">
        <v>85.86</v>
      </c>
      <c r="F109" s="72"/>
      <c r="G109" s="73">
        <v>1399.68</v>
      </c>
      <c r="H109" s="71">
        <v>120</v>
      </c>
      <c r="I109" s="72"/>
      <c r="J109" s="73">
        <v>1399.68</v>
      </c>
      <c r="K10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282</v>
      </c>
      <c r="L109" s="79"/>
    </row>
    <row r="110" spans="2:12" x14ac:dyDescent="0.3">
      <c r="B110" s="48">
        <v>44924</v>
      </c>
      <c r="C110" s="48" t="str">
        <f>TEXT(ventasdiarias[[#This Row],[Fecha]],"dddd")</f>
        <v>jueves</v>
      </c>
      <c r="D110" s="47">
        <v>17.11</v>
      </c>
      <c r="E110" s="49">
        <v>69.97</v>
      </c>
      <c r="F110" s="51"/>
      <c r="G110" s="52">
        <v>2095.42</v>
      </c>
      <c r="H110" s="50">
        <v>35</v>
      </c>
      <c r="I110" s="51"/>
      <c r="J110" s="52">
        <v>2095.42</v>
      </c>
      <c r="K11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279.93512565751024</v>
      </c>
      <c r="L110" s="79"/>
    </row>
    <row r="111" spans="2:12" x14ac:dyDescent="0.3">
      <c r="B111" s="48">
        <v>44923</v>
      </c>
      <c r="C111" s="48" t="str">
        <f>TEXT(ventasdiarias[[#This Row],[Fecha]],"dddd")</f>
        <v>miércoles</v>
      </c>
      <c r="D111" s="47">
        <v>16.8</v>
      </c>
      <c r="E111" s="49">
        <v>99.63</v>
      </c>
      <c r="F111" s="51"/>
      <c r="G111" s="52">
        <v>1027.152</v>
      </c>
      <c r="H111" s="50">
        <v>152</v>
      </c>
      <c r="I111" s="51"/>
      <c r="J111" s="52">
        <v>1027.152</v>
      </c>
      <c r="K11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274.27999999999997</v>
      </c>
      <c r="L111" s="79"/>
    </row>
    <row r="112" spans="2:12" x14ac:dyDescent="0.3">
      <c r="B112" s="48">
        <v>44922</v>
      </c>
      <c r="C112" s="48" t="str">
        <f>TEXT(ventasdiarias[[#This Row],[Fecha]],"dddd")</f>
        <v>martes</v>
      </c>
      <c r="D112" s="47">
        <v>16.57</v>
      </c>
      <c r="E112" s="49">
        <v>130.96</v>
      </c>
      <c r="F112" s="51"/>
      <c r="G112" s="52">
        <v>251.5</v>
      </c>
      <c r="H112" s="50">
        <v>148</v>
      </c>
      <c r="I112" s="51"/>
      <c r="J112" s="52">
        <v>251.5</v>
      </c>
      <c r="K11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178.35606517803259</v>
      </c>
      <c r="L112" s="79"/>
    </row>
    <row r="113" spans="2:12" x14ac:dyDescent="0.3">
      <c r="B113" s="48">
        <v>44919</v>
      </c>
      <c r="C113" s="48" t="str">
        <f>TEXT(ventasdiarias[[#This Row],[Fecha]],"dddd")</f>
        <v>sábado</v>
      </c>
      <c r="D113" s="47">
        <v>16.45</v>
      </c>
      <c r="E113" s="49">
        <v>18.59</v>
      </c>
      <c r="F113" s="51"/>
      <c r="G113" s="52">
        <v>50</v>
      </c>
      <c r="H113" s="50">
        <v>40</v>
      </c>
      <c r="I113" s="51"/>
      <c r="J113" s="52">
        <v>50</v>
      </c>
      <c r="K11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46.079027355623097</v>
      </c>
      <c r="L113" s="79"/>
    </row>
    <row r="114" spans="2:12" x14ac:dyDescent="0.3">
      <c r="B114" s="48">
        <v>44918</v>
      </c>
      <c r="C114" s="48" t="str">
        <f>TEXT(ventasdiarias[[#This Row],[Fecha]],"dddd")</f>
        <v>viernes</v>
      </c>
      <c r="D114" s="47">
        <v>16.45</v>
      </c>
      <c r="E114" s="49">
        <v>41.26</v>
      </c>
      <c r="F114" s="51"/>
      <c r="G114" s="52">
        <v>45</v>
      </c>
      <c r="H114" s="50">
        <v>98</v>
      </c>
      <c r="I114" s="51"/>
      <c r="J114" s="52">
        <v>45</v>
      </c>
      <c r="K11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103.47112462006079</v>
      </c>
      <c r="L114" s="79"/>
    </row>
    <row r="115" spans="2:12" x14ac:dyDescent="0.3">
      <c r="B115" s="48">
        <v>44917</v>
      </c>
      <c r="C115" s="48" t="str">
        <f>TEXT(ventasdiarias[[#This Row],[Fecha]],"dddd")</f>
        <v>jueves</v>
      </c>
      <c r="D115" s="47">
        <v>16.18</v>
      </c>
      <c r="E115" s="49">
        <v>28.22</v>
      </c>
      <c r="F115" s="51"/>
      <c r="G115" s="52">
        <v>242.7</v>
      </c>
      <c r="H115" s="50">
        <v>55</v>
      </c>
      <c r="I115" s="51"/>
      <c r="J115" s="52">
        <v>242.7</v>
      </c>
      <c r="K11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85</v>
      </c>
      <c r="L115" s="79"/>
    </row>
    <row r="116" spans="2:12" x14ac:dyDescent="0.3">
      <c r="B116" s="48">
        <v>44916</v>
      </c>
      <c r="C116" s="48" t="str">
        <f>TEXT(ventasdiarias[[#This Row],[Fecha]],"dddd")</f>
        <v>miércoles</v>
      </c>
      <c r="D116" s="47">
        <v>16.04</v>
      </c>
      <c r="E116" s="49">
        <v>18.22</v>
      </c>
      <c r="F116" s="50"/>
      <c r="G116" s="52">
        <v>320.8</v>
      </c>
      <c r="H116" s="50">
        <v>22</v>
      </c>
      <c r="I116" s="50"/>
      <c r="J116" s="52">
        <v>320.8</v>
      </c>
      <c r="K11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62</v>
      </c>
      <c r="L116" s="79"/>
    </row>
    <row r="117" spans="2:12" x14ac:dyDescent="0.3">
      <c r="B117" s="48">
        <v>44915</v>
      </c>
      <c r="C117" s="48" t="str">
        <f>TEXT(ventasdiarias[[#This Row],[Fecha]],"dddd")</f>
        <v>martes</v>
      </c>
      <c r="D117" s="47">
        <v>16</v>
      </c>
      <c r="E117" s="49">
        <v>78.56</v>
      </c>
      <c r="F117" s="50"/>
      <c r="G117" s="52">
        <v>880</v>
      </c>
      <c r="H117" s="50">
        <v>90</v>
      </c>
      <c r="I117" s="50"/>
      <c r="J117" s="52">
        <v>880</v>
      </c>
      <c r="K11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200</v>
      </c>
      <c r="L117" s="79"/>
    </row>
    <row r="118" spans="2:12" x14ac:dyDescent="0.3">
      <c r="B118" s="48">
        <v>44914</v>
      </c>
      <c r="C118" s="48" t="str">
        <f>TEXT(ventasdiarias[[#This Row],[Fecha]],"dddd")</f>
        <v>lunes</v>
      </c>
      <c r="D118" s="47">
        <v>15.77</v>
      </c>
      <c r="E118" s="49">
        <v>76.47</v>
      </c>
      <c r="F118" s="51"/>
      <c r="G118" s="52">
        <v>930.43</v>
      </c>
      <c r="H118" s="51">
        <v>90</v>
      </c>
      <c r="I118" s="51"/>
      <c r="J118" s="52">
        <v>930.43</v>
      </c>
      <c r="K11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208</v>
      </c>
      <c r="L118" s="79"/>
    </row>
    <row r="119" spans="2:12" x14ac:dyDescent="0.3">
      <c r="B119" s="48">
        <v>44912</v>
      </c>
      <c r="C119" s="48" t="str">
        <f>TEXT(ventasdiarias[[#This Row],[Fecha]],"dddd")</f>
        <v>sábado</v>
      </c>
      <c r="D119" s="47">
        <v>15.57</v>
      </c>
      <c r="E119" s="49">
        <v>31.06</v>
      </c>
      <c r="F119" s="51"/>
      <c r="G119" s="52">
        <v>762.93</v>
      </c>
      <c r="H119" s="51">
        <v>42</v>
      </c>
      <c r="I119" s="51"/>
      <c r="J119" s="52">
        <v>762.93</v>
      </c>
      <c r="K11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140</v>
      </c>
      <c r="L119" s="79"/>
    </row>
    <row r="120" spans="2:12" x14ac:dyDescent="0.3">
      <c r="B120" s="48">
        <v>44911</v>
      </c>
      <c r="C120" s="48" t="str">
        <f>TEXT(ventasdiarias[[#This Row],[Fecha]],"dddd")</f>
        <v>viernes</v>
      </c>
      <c r="D120" s="47">
        <v>15.57</v>
      </c>
      <c r="E120" s="49">
        <v>101.94</v>
      </c>
      <c r="F120" s="51"/>
      <c r="G120" s="52">
        <v>2285.4899999999998</v>
      </c>
      <c r="H120" s="51">
        <v>95</v>
      </c>
      <c r="I120" s="51"/>
      <c r="J120" s="52">
        <v>2285.4899999999998</v>
      </c>
      <c r="K12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388.57610789980731</v>
      </c>
      <c r="L120" s="79"/>
    </row>
    <row r="121" spans="2:12" x14ac:dyDescent="0.3">
      <c r="B121" s="48">
        <v>44910</v>
      </c>
      <c r="C121" s="48" t="str">
        <f>TEXT(ventasdiarias[[#This Row],[Fecha]],"dddd")</f>
        <v>jueves</v>
      </c>
      <c r="D121" s="47">
        <v>15.24</v>
      </c>
      <c r="E121" s="49">
        <v>37.67</v>
      </c>
      <c r="F121" s="51"/>
      <c r="G121" s="52"/>
      <c r="H121" s="51">
        <v>85</v>
      </c>
      <c r="I121" s="51"/>
      <c r="J121" s="52"/>
      <c r="K12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85</v>
      </c>
      <c r="L121" s="79"/>
    </row>
    <row r="122" spans="2:12" x14ac:dyDescent="0.3">
      <c r="B122" s="48">
        <v>44909</v>
      </c>
      <c r="C122" s="48" t="str">
        <f>TEXT(ventasdiarias[[#This Row],[Fecha]],"dddd")</f>
        <v>miércoles</v>
      </c>
      <c r="D122" s="47">
        <v>14.13</v>
      </c>
      <c r="E122" s="49">
        <v>91.38</v>
      </c>
      <c r="F122" s="51"/>
      <c r="G122" s="52">
        <v>2321.6999999999998</v>
      </c>
      <c r="H122" s="51">
        <v>27</v>
      </c>
      <c r="I122" s="51"/>
      <c r="J122" s="52">
        <v>2321.6999999999998</v>
      </c>
      <c r="K12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355.61995753715496</v>
      </c>
      <c r="L122" s="79"/>
    </row>
    <row r="123" spans="2:12" x14ac:dyDescent="0.3">
      <c r="B123" s="48">
        <v>44908</v>
      </c>
      <c r="C123" s="48" t="str">
        <f>TEXT(ventasdiarias[[#This Row],[Fecha]],"dddd")</f>
        <v>martes</v>
      </c>
      <c r="D123" s="47">
        <v>14.13</v>
      </c>
      <c r="E123" s="49">
        <v>58.94</v>
      </c>
      <c r="F123" s="51"/>
      <c r="G123" s="52">
        <v>1413</v>
      </c>
      <c r="H123" s="51">
        <v>40</v>
      </c>
      <c r="I123" s="51"/>
      <c r="J123" s="52">
        <v>1413</v>
      </c>
      <c r="K12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240</v>
      </c>
      <c r="L123" s="79"/>
    </row>
    <row r="124" spans="2:12" x14ac:dyDescent="0.3">
      <c r="B124" s="48">
        <v>44907</v>
      </c>
      <c r="C124" s="48" t="str">
        <f>TEXT(ventasdiarias[[#This Row],[Fecha]],"dddd")</f>
        <v>lunes</v>
      </c>
      <c r="D124" s="47">
        <v>13.6</v>
      </c>
      <c r="E124" s="49">
        <v>38.479999999999997</v>
      </c>
      <c r="F124" s="51"/>
      <c r="G124" s="52">
        <v>1890.4</v>
      </c>
      <c r="H124" s="51"/>
      <c r="I124" s="51"/>
      <c r="J124" s="52">
        <v>1890.4</v>
      </c>
      <c r="K124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278</v>
      </c>
      <c r="L124" s="79"/>
    </row>
    <row r="125" spans="2:12" x14ac:dyDescent="0.3">
      <c r="B125" s="48">
        <v>44905</v>
      </c>
      <c r="C125" s="48" t="str">
        <f>TEXT(ventasdiarias[[#This Row],[Fecha]],"dddd")</f>
        <v>sábado</v>
      </c>
      <c r="D125" s="47">
        <v>13.6</v>
      </c>
      <c r="E125" s="49">
        <v>34.770000000000003</v>
      </c>
      <c r="F125" s="51"/>
      <c r="G125" s="52">
        <v>707.2</v>
      </c>
      <c r="H125" s="51">
        <v>36</v>
      </c>
      <c r="I125" s="51"/>
      <c r="J125" s="52">
        <v>707.2</v>
      </c>
      <c r="K125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140</v>
      </c>
      <c r="L125" s="79"/>
    </row>
    <row r="126" spans="2:12" x14ac:dyDescent="0.3">
      <c r="B126" s="48">
        <v>44904</v>
      </c>
      <c r="C126" s="48" t="str">
        <f>TEXT(ventasdiarias[[#This Row],[Fecha]],"dddd")</f>
        <v>viernes</v>
      </c>
      <c r="D126" s="47">
        <v>13.6</v>
      </c>
      <c r="E126" s="49">
        <v>31.77</v>
      </c>
      <c r="F126" s="51"/>
      <c r="G126" s="52">
        <v>680</v>
      </c>
      <c r="H126" s="51">
        <v>25</v>
      </c>
      <c r="I126" s="51"/>
      <c r="J126" s="52">
        <v>680</v>
      </c>
      <c r="K126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125</v>
      </c>
      <c r="L126" s="79"/>
    </row>
    <row r="127" spans="2:12" x14ac:dyDescent="0.3">
      <c r="B127" s="48">
        <v>44903</v>
      </c>
      <c r="C127" s="48" t="str">
        <f>TEXT(ventasdiarias[[#This Row],[Fecha]],"dddd")</f>
        <v>jueves</v>
      </c>
      <c r="D127" s="47">
        <v>11.86</v>
      </c>
      <c r="E127" s="49">
        <v>60.74</v>
      </c>
      <c r="F127" s="51"/>
      <c r="G127" s="52">
        <v>332.08</v>
      </c>
      <c r="H127" s="51">
        <v>127</v>
      </c>
      <c r="I127" s="51"/>
      <c r="J127" s="52">
        <v>332.08</v>
      </c>
      <c r="K127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183</v>
      </c>
      <c r="L127" s="79"/>
    </row>
    <row r="128" spans="2:12" x14ac:dyDescent="0.3">
      <c r="B128" s="48">
        <v>44902</v>
      </c>
      <c r="C128" s="48" t="str">
        <f>TEXT(ventasdiarias[[#This Row],[Fecha]],"dddd")</f>
        <v>miércoles</v>
      </c>
      <c r="D128" s="47">
        <v>11.86</v>
      </c>
      <c r="E128" s="49">
        <v>15.93</v>
      </c>
      <c r="F128" s="51"/>
      <c r="G128" s="52">
        <v>357.2</v>
      </c>
      <c r="H128" s="51">
        <v>17</v>
      </c>
      <c r="I128" s="51"/>
      <c r="J128" s="52">
        <v>357.2</v>
      </c>
      <c r="K128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77.236087689713315</v>
      </c>
      <c r="L128" s="79"/>
    </row>
    <row r="129" spans="2:12" x14ac:dyDescent="0.3">
      <c r="B129" s="48">
        <v>44901</v>
      </c>
      <c r="C129" s="48" t="str">
        <f>TEXT(ventasdiarias[[#This Row],[Fecha]],"dddd")</f>
        <v>martes</v>
      </c>
      <c r="D129" s="47">
        <v>11.54</v>
      </c>
      <c r="E129" s="49">
        <v>49.94</v>
      </c>
      <c r="F129" s="51"/>
      <c r="G129" s="52">
        <v>92.32</v>
      </c>
      <c r="H129" s="51">
        <v>105</v>
      </c>
      <c r="I129" s="51"/>
      <c r="J129" s="52">
        <v>92.32</v>
      </c>
      <c r="K129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121</v>
      </c>
      <c r="L129" s="79"/>
    </row>
    <row r="130" spans="2:12" x14ac:dyDescent="0.3">
      <c r="B130" s="48">
        <v>44900</v>
      </c>
      <c r="C130" s="48" t="str">
        <f>TEXT(ventasdiarias[[#This Row],[Fecha]],"dddd")</f>
        <v>lunes</v>
      </c>
      <c r="D130" s="47">
        <v>11.69</v>
      </c>
      <c r="E130" s="49">
        <v>172.06</v>
      </c>
      <c r="F130" s="51"/>
      <c r="G130" s="52">
        <v>35</v>
      </c>
      <c r="H130" s="51">
        <v>398</v>
      </c>
      <c r="I130" s="51"/>
      <c r="J130" s="52">
        <v>35</v>
      </c>
      <c r="K130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403.98802395209583</v>
      </c>
      <c r="L130" s="79"/>
    </row>
    <row r="131" spans="2:12" x14ac:dyDescent="0.3">
      <c r="B131" s="48">
        <v>44898</v>
      </c>
      <c r="C131" s="48" t="str">
        <f>TEXT(ventasdiarias[[#This Row],[Fecha]],"dddd")</f>
        <v>sábado</v>
      </c>
      <c r="D131" s="47">
        <v>11.25</v>
      </c>
      <c r="E131" s="49">
        <v>50.05</v>
      </c>
      <c r="F131" s="51"/>
      <c r="G131" s="52">
        <v>1260</v>
      </c>
      <c r="H131" s="51">
        <v>5</v>
      </c>
      <c r="I131" s="51"/>
      <c r="J131" s="52">
        <v>1260</v>
      </c>
      <c r="K131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229</v>
      </c>
      <c r="L131" s="79"/>
    </row>
    <row r="132" spans="2:12" x14ac:dyDescent="0.3">
      <c r="B132" s="48">
        <v>44897</v>
      </c>
      <c r="C132" s="48" t="str">
        <f>TEXT(ventasdiarias[[#This Row],[Fecha]],"dddd")</f>
        <v>viernes</v>
      </c>
      <c r="D132" s="47">
        <v>11.25</v>
      </c>
      <c r="E132" s="49">
        <v>35.35</v>
      </c>
      <c r="F132" s="51"/>
      <c r="G132" s="52">
        <v>630</v>
      </c>
      <c r="H132" s="51">
        <v>20</v>
      </c>
      <c r="I132" s="51"/>
      <c r="J132" s="52">
        <v>630</v>
      </c>
      <c r="K132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132</v>
      </c>
      <c r="L132" s="79"/>
    </row>
    <row r="133" spans="2:12" x14ac:dyDescent="0.3">
      <c r="B133" s="48">
        <v>44896</v>
      </c>
      <c r="C133" s="48" t="str">
        <f>TEXT(ventasdiarias[[#This Row],[Fecha]],"dddd")</f>
        <v>jueves</v>
      </c>
      <c r="D133" s="47">
        <v>11.08</v>
      </c>
      <c r="E133" s="49">
        <v>36.58</v>
      </c>
      <c r="F133" s="51"/>
      <c r="G133" s="52">
        <v>952.88</v>
      </c>
      <c r="H133" s="51"/>
      <c r="I133" s="51"/>
      <c r="J133" s="52">
        <v>952.88</v>
      </c>
      <c r="K133" s="98">
        <f>ventasdiarias[[#This Row],[Venta $]]+ventasdiarias[[#This Row],[Zelle $]]+(IF(ventasdiarias[[#This Row],[Tasa]]&gt;0,(ventasdiarias[[#This Row],[punto]]+ventasdiarias[[#This Row],[Pago Movil]]+ventasdiarias[[#This Row],[Bs efecitivo]])/ventasdiarias[[#This Row],[Tasa]],"0"))</f>
        <v>172</v>
      </c>
      <c r="L133" s="79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6"/>
  </sheetPr>
  <dimension ref="A2:N121"/>
  <sheetViews>
    <sheetView showGridLines="0" workbookViewId="0">
      <selection activeCell="E8" sqref="E8"/>
    </sheetView>
  </sheetViews>
  <sheetFormatPr baseColWidth="10" defaultColWidth="11.44140625" defaultRowHeight="12" x14ac:dyDescent="0.25"/>
  <cols>
    <col min="1" max="1" width="28" style="11" customWidth="1"/>
    <col min="2" max="2" width="14.77734375" style="11" customWidth="1"/>
    <col min="3" max="3" width="10.77734375" style="11" customWidth="1"/>
    <col min="4" max="5" width="11.44140625" style="11"/>
    <col min="6" max="6" width="37.77734375" style="11" customWidth="1"/>
    <col min="7" max="7" width="12.44140625" style="11" customWidth="1"/>
    <col min="8" max="8" width="13" style="11" customWidth="1"/>
    <col min="9" max="11" width="11.44140625" style="11"/>
    <col min="12" max="12" width="23.33203125" style="11" customWidth="1"/>
    <col min="13" max="16384" width="11.44140625" style="11"/>
  </cols>
  <sheetData>
    <row r="2" spans="1:14" x14ac:dyDescent="0.25">
      <c r="A2" s="37" t="s">
        <v>19</v>
      </c>
      <c r="B2" s="37" t="s">
        <v>103</v>
      </c>
      <c r="C2" s="37" t="s">
        <v>204</v>
      </c>
      <c r="D2" s="37" t="s">
        <v>117</v>
      </c>
      <c r="E2" s="37" t="s">
        <v>104</v>
      </c>
    </row>
    <row r="3" spans="1:14" x14ac:dyDescent="0.25">
      <c r="A3" s="19">
        <f>SUMIFS(gastoseventuales[MONTO TOTAL EN DOLARES],gastoseventuales[FECHA],"&gt;="&amp;DATE(Resumen!$C$2,Resumen!$B$2,1),gastoseventuales[FECHA],"&lt;="&amp;EOMONTH(DATE(Resumen!$C$2,Resumen!$B$2,1),0),gastoseventuales[GASTO],"FIJO")</f>
        <v>631.25</v>
      </c>
      <c r="B3" s="19">
        <f>SUMIFS(gastoseventuales[MONTO TOTAL EN DOLARES],gastoseventuales[FECHA],"&gt;="&amp;DATE(Resumen!$C$2,Resumen!$B$2,1),gastoseventuales[FECHA],"&lt;="&amp;EOMONTH(DATE(Resumen!$C$2,Resumen!$B$2,1),0),gastoseventuales[GASTO],"EVENTUAL")</f>
        <v>302.14238067382985</v>
      </c>
      <c r="C3" s="19">
        <f>SUMIFS(gastoseventuales[MONTO TOTAL EN DOLARES],gastoseventuales[FECHA],"&gt;="&amp;DATE(Resumen!$C$2,Resumen!$B$2,1),gastoseventuales[FECHA],"&lt;="&amp;EOMONTH(DATE(Resumen!$C$2,Resumen!$B$2,1),0),gastoseventuales[GASTO],"RETIRADO")</f>
        <v>120</v>
      </c>
      <c r="D3" s="19">
        <f>SUMIFS(gastoseventuales[MONTO TOTAL EN DOLARES],gastoseventuales[FECHA],"&gt;="&amp;DATE(Resumen!$C$2,Resumen!$B$2,1),gastoseventuales[FECHA],"&lt;="&amp;EOMONTH(DATE(Resumen!$C$2,Resumen!$B$2,1),0),gastoseventuales[GASTO],"COMISION")</f>
        <v>0</v>
      </c>
      <c r="E3" s="19">
        <f>SUMIFS(gastoseventuales[MONTO TOTAL EN DOLARES],gastoseventuales[FECHA],"&gt;="&amp;DATE(Resumen!C2,Resumen!B2,1),gastoseventuales[FECHA],"&lt;="&amp;EOMONTH(DATE(Resumen!C2,Resumen!B2,1),0))</f>
        <v>1053.3923806738298</v>
      </c>
    </row>
    <row r="4" spans="1:14" x14ac:dyDescent="0.25">
      <c r="L4" s="18"/>
      <c r="M4" s="18"/>
      <c r="N4" s="18"/>
    </row>
    <row r="5" spans="1:14" x14ac:dyDescent="0.25">
      <c r="E5" s="20"/>
      <c r="L5" s="20"/>
      <c r="M5" s="20"/>
      <c r="N5" s="20"/>
    </row>
    <row r="7" spans="1:14" x14ac:dyDescent="0.25">
      <c r="A7" s="21" t="s">
        <v>14</v>
      </c>
      <c r="B7" s="22" t="s">
        <v>62</v>
      </c>
      <c r="C7" s="22" t="s">
        <v>33</v>
      </c>
      <c r="D7" s="23" t="s">
        <v>15</v>
      </c>
      <c r="F7" s="100" t="s">
        <v>97</v>
      </c>
      <c r="G7" s="56" t="s">
        <v>35</v>
      </c>
      <c r="H7" s="56" t="s">
        <v>98</v>
      </c>
      <c r="I7" s="56" t="s">
        <v>59</v>
      </c>
      <c r="J7" s="56" t="s">
        <v>63</v>
      </c>
      <c r="K7" s="56" t="s">
        <v>39</v>
      </c>
      <c r="L7" s="101" t="s">
        <v>209</v>
      </c>
    </row>
    <row r="8" spans="1:14" x14ac:dyDescent="0.25">
      <c r="A8" s="24" t="s">
        <v>17</v>
      </c>
      <c r="B8" s="25" t="s">
        <v>52</v>
      </c>
      <c r="C8" s="25" t="s">
        <v>46</v>
      </c>
      <c r="D8" s="26">
        <v>13.69</v>
      </c>
      <c r="E8" s="46"/>
      <c r="F8" s="12" t="s">
        <v>202</v>
      </c>
      <c r="G8" s="57">
        <v>45077</v>
      </c>
      <c r="H8" s="56" t="s">
        <v>99</v>
      </c>
      <c r="I8" s="56">
        <f>VLOOKUP(gastoseventuales[[#This Row],[FECHA]],ventasdiarias[],3,FALSE)</f>
        <v>26.16</v>
      </c>
      <c r="J8" s="56">
        <v>915.6</v>
      </c>
      <c r="K8" s="56">
        <v>40</v>
      </c>
      <c r="L8" s="102">
        <f>(gastoseventuales[[#This Row],[BS]]/gastoseventuales[[#This Row],[TASA]])+gastoseventuales[[#This Row],[DOLARES]]</f>
        <v>75</v>
      </c>
    </row>
    <row r="9" spans="1:14" x14ac:dyDescent="0.25">
      <c r="A9" s="24" t="s">
        <v>44</v>
      </c>
      <c r="B9" s="25" t="s">
        <v>52</v>
      </c>
      <c r="C9" s="25" t="s">
        <v>46</v>
      </c>
      <c r="D9" s="26"/>
      <c r="E9" s="46"/>
      <c r="F9" s="100" t="s">
        <v>201</v>
      </c>
      <c r="G9" s="57">
        <v>45076</v>
      </c>
      <c r="H9" s="56" t="s">
        <v>105</v>
      </c>
      <c r="I9" s="56">
        <f>VLOOKUP(gastoseventuales[[#This Row],[FECHA]],ventasdiarias[],3,FALSE)</f>
        <v>26.25</v>
      </c>
      <c r="J9" s="56">
        <v>3677.69</v>
      </c>
      <c r="K9" s="56"/>
      <c r="L9" s="102">
        <f>(gastoseventuales[[#This Row],[BS]]/gastoseventuales[[#This Row],[TASA]])+gastoseventuales[[#This Row],[DOLARES]]</f>
        <v>140.10247619047618</v>
      </c>
    </row>
    <row r="10" spans="1:14" x14ac:dyDescent="0.25">
      <c r="A10" s="24" t="s">
        <v>69</v>
      </c>
      <c r="B10" s="25" t="s">
        <v>61</v>
      </c>
      <c r="C10" s="25" t="s">
        <v>46</v>
      </c>
      <c r="D10" s="26">
        <v>20.84</v>
      </c>
      <c r="E10" s="46"/>
      <c r="F10" s="100" t="s">
        <v>199</v>
      </c>
      <c r="G10" s="57">
        <v>45073</v>
      </c>
      <c r="H10" s="56" t="s">
        <v>204</v>
      </c>
      <c r="I10" s="56">
        <f>VLOOKUP(gastoseventuales[[#This Row],[FECHA]],ventasdiarias[],3,FALSE)</f>
        <v>26</v>
      </c>
      <c r="J10" s="56"/>
      <c r="K10" s="56">
        <v>50</v>
      </c>
      <c r="L10" s="102">
        <f>(gastoseventuales[[#This Row],[BS]]/gastoseventuales[[#This Row],[TASA]])+gastoseventuales[[#This Row],[DOLARES]]</f>
        <v>50</v>
      </c>
    </row>
    <row r="11" spans="1:14" x14ac:dyDescent="0.25">
      <c r="A11" s="24" t="s">
        <v>47</v>
      </c>
      <c r="B11" s="25" t="s">
        <v>51</v>
      </c>
      <c r="C11" s="25" t="s">
        <v>147</v>
      </c>
      <c r="D11" s="26">
        <v>50</v>
      </c>
      <c r="E11" s="46"/>
      <c r="F11" s="100" t="s">
        <v>198</v>
      </c>
      <c r="G11" s="57">
        <v>45071</v>
      </c>
      <c r="H11" s="56" t="s">
        <v>105</v>
      </c>
      <c r="I11" s="56">
        <f>VLOOKUP(gastoseventuales[[#This Row],[FECHA]],ventasdiarias[],3,FALSE)</f>
        <v>26</v>
      </c>
      <c r="J11" s="56">
        <v>10</v>
      </c>
      <c r="K11" s="56"/>
      <c r="L11" s="102">
        <f>(gastoseventuales[[#This Row],[BS]]/gastoseventuales[[#This Row],[TASA]])+gastoseventuales[[#This Row],[DOLARES]]</f>
        <v>0.38461538461538464</v>
      </c>
    </row>
    <row r="12" spans="1:14" x14ac:dyDescent="0.25">
      <c r="A12" s="24" t="s">
        <v>16</v>
      </c>
      <c r="B12" s="25" t="s">
        <v>51</v>
      </c>
      <c r="C12" s="25" t="s">
        <v>46</v>
      </c>
      <c r="D12" s="26">
        <v>500</v>
      </c>
      <c r="E12" s="46"/>
      <c r="F12" s="100" t="s">
        <v>197</v>
      </c>
      <c r="G12" s="57">
        <v>45070</v>
      </c>
      <c r="H12" s="56" t="s">
        <v>105</v>
      </c>
      <c r="I12" s="56">
        <f>VLOOKUP(gastoseventuales[[#This Row],[FECHA]],ventasdiarias[],3,FALSE)</f>
        <v>26</v>
      </c>
      <c r="J12" s="56">
        <v>340</v>
      </c>
      <c r="K12" s="56"/>
      <c r="L12" s="102">
        <f>(gastoseventuales[[#This Row],[BS]]/gastoseventuales[[#This Row],[TASA]])+gastoseventuales[[#This Row],[DOLARES]]</f>
        <v>13.076923076923077</v>
      </c>
    </row>
    <row r="13" spans="1:14" x14ac:dyDescent="0.25">
      <c r="A13" s="24" t="s">
        <v>49</v>
      </c>
      <c r="B13" s="25" t="s">
        <v>50</v>
      </c>
      <c r="C13" s="25" t="s">
        <v>46</v>
      </c>
      <c r="D13" s="26">
        <v>2</v>
      </c>
      <c r="E13" s="46"/>
      <c r="F13" s="100" t="s">
        <v>196</v>
      </c>
      <c r="G13" s="57">
        <v>45069</v>
      </c>
      <c r="H13" s="56" t="s">
        <v>105</v>
      </c>
      <c r="I13" s="56">
        <f>VLOOKUP(gastoseventuales[[#This Row],[FECHA]],ventasdiarias[],3,FALSE)</f>
        <v>26</v>
      </c>
      <c r="J13" s="56">
        <v>20</v>
      </c>
      <c r="K13" s="56"/>
      <c r="L13" s="102">
        <f>(gastoseventuales[[#This Row],[BS]]/gastoseventuales[[#This Row],[TASA]])+gastoseventuales[[#This Row],[DOLARES]]</f>
        <v>0.76923076923076927</v>
      </c>
    </row>
    <row r="14" spans="1:14" x14ac:dyDescent="0.25">
      <c r="A14" s="24" t="s">
        <v>43</v>
      </c>
      <c r="B14" s="25" t="s">
        <v>50</v>
      </c>
      <c r="C14" s="25" t="s">
        <v>46</v>
      </c>
      <c r="D14" s="26">
        <v>6.5</v>
      </c>
      <c r="E14" s="46"/>
      <c r="F14" s="100" t="s">
        <v>194</v>
      </c>
      <c r="G14" s="57">
        <v>45066</v>
      </c>
      <c r="H14" s="56" t="s">
        <v>204</v>
      </c>
      <c r="I14" s="56">
        <f>VLOOKUP(gastoseventuales[[#This Row],[FECHA]],ventasdiarias[],3,FALSE)</f>
        <v>25.9</v>
      </c>
      <c r="J14" s="56"/>
      <c r="K14" s="56">
        <v>100</v>
      </c>
      <c r="L14" s="102">
        <f>(gastoseventuales[[#This Row],[BS]]/gastoseventuales[[#This Row],[TASA]])+gastoseventuales[[#This Row],[DOLARES]]</f>
        <v>100</v>
      </c>
    </row>
    <row r="15" spans="1:14" x14ac:dyDescent="0.25">
      <c r="A15" s="24" t="s">
        <v>48</v>
      </c>
      <c r="B15" s="25" t="s">
        <v>50</v>
      </c>
      <c r="C15" s="25" t="s">
        <v>46</v>
      </c>
      <c r="D15" s="26">
        <v>75</v>
      </c>
      <c r="E15" s="46"/>
      <c r="F15" s="100" t="s">
        <v>170</v>
      </c>
      <c r="G15" s="57">
        <v>45064</v>
      </c>
      <c r="H15" s="56" t="s">
        <v>204</v>
      </c>
      <c r="I15" s="56">
        <f>VLOOKUP(gastoseventuales[[#This Row],[FECHA]],ventasdiarias[],3,FALSE)</f>
        <v>25.81</v>
      </c>
      <c r="J15" s="56"/>
      <c r="K15" s="56">
        <v>15</v>
      </c>
      <c r="L15" s="102">
        <f>(gastoseventuales[[#This Row],[BS]]/gastoseventuales[[#This Row],[TASA]])+gastoseventuales[[#This Row],[DOLARES]]</f>
        <v>15</v>
      </c>
    </row>
    <row r="16" spans="1:14" x14ac:dyDescent="0.25">
      <c r="A16" s="24" t="s">
        <v>45</v>
      </c>
      <c r="B16" s="25" t="s">
        <v>50</v>
      </c>
      <c r="C16" s="25" t="s">
        <v>46</v>
      </c>
      <c r="D16" s="26">
        <v>5</v>
      </c>
      <c r="E16" s="46"/>
      <c r="F16" s="100" t="s">
        <v>170</v>
      </c>
      <c r="G16" s="57">
        <v>45063</v>
      </c>
      <c r="H16" s="56" t="s">
        <v>204</v>
      </c>
      <c r="I16" s="56">
        <f>VLOOKUP(gastoseventuales[[#This Row],[FECHA]],ventasdiarias[],3,FALSE)</f>
        <v>25.64</v>
      </c>
      <c r="J16" s="56"/>
      <c r="K16" s="56">
        <v>120</v>
      </c>
      <c r="L16" s="102">
        <f>(gastoseventuales[[#This Row],[BS]]/gastoseventuales[[#This Row],[TASA]])+gastoseventuales[[#This Row],[DOLARES]]</f>
        <v>120</v>
      </c>
    </row>
    <row r="17" spans="1:12" x14ac:dyDescent="0.25">
      <c r="A17" s="24" t="s">
        <v>18</v>
      </c>
      <c r="B17" s="25" t="s">
        <v>50</v>
      </c>
      <c r="C17" s="25" t="s">
        <v>46</v>
      </c>
      <c r="D17" s="26">
        <v>30</v>
      </c>
      <c r="E17" s="46"/>
      <c r="F17" s="100" t="s">
        <v>135</v>
      </c>
      <c r="G17" s="57">
        <v>45061</v>
      </c>
      <c r="H17" s="56" t="s">
        <v>99</v>
      </c>
      <c r="I17" s="56">
        <f>VLOOKUP(gastoseventuales[[#This Row],[FECHA]],ventasdiarias[],3,FALSE)</f>
        <v>25.43</v>
      </c>
      <c r="J17" s="56">
        <v>381.45</v>
      </c>
      <c r="K17" s="56">
        <v>60</v>
      </c>
      <c r="L17" s="102">
        <f>(gastoseventuales[[#This Row],[BS]]/gastoseventuales[[#This Row],[TASA]])+gastoseventuales[[#This Row],[DOLARES]]</f>
        <v>75</v>
      </c>
    </row>
    <row r="18" spans="1:12" x14ac:dyDescent="0.25">
      <c r="A18" s="24" t="s">
        <v>42</v>
      </c>
      <c r="B18" s="25" t="s">
        <v>53</v>
      </c>
      <c r="C18" s="25" t="s">
        <v>46</v>
      </c>
      <c r="D18" s="26"/>
      <c r="E18" s="46"/>
      <c r="F18" s="100" t="s">
        <v>85</v>
      </c>
      <c r="G18" s="57">
        <v>45061</v>
      </c>
      <c r="H18" s="56" t="s">
        <v>105</v>
      </c>
      <c r="I18" s="56">
        <f>VLOOKUP(gastoseventuales[[#This Row],[FECHA]],ventasdiarias[],3,FALSE)</f>
        <v>25.43</v>
      </c>
      <c r="J18" s="56">
        <v>40</v>
      </c>
      <c r="K18" s="56"/>
      <c r="L18" s="102">
        <f>(gastoseventuales[[#This Row],[BS]]/gastoseventuales[[#This Row],[TASA]])+gastoseventuales[[#This Row],[DOLARES]]</f>
        <v>1.5729453401494298</v>
      </c>
    </row>
    <row r="19" spans="1:12" x14ac:dyDescent="0.25">
      <c r="A19" s="24" t="s">
        <v>40</v>
      </c>
      <c r="B19" s="25"/>
      <c r="C19" s="25" t="s">
        <v>46</v>
      </c>
      <c r="D19" s="58">
        <v>2903.69</v>
      </c>
      <c r="E19" s="46"/>
      <c r="F19" s="100" t="s">
        <v>191</v>
      </c>
      <c r="G19" s="57">
        <v>45059</v>
      </c>
      <c r="H19" s="56" t="s">
        <v>204</v>
      </c>
      <c r="I19" s="56">
        <f>VLOOKUP(gastoseventuales[[#This Row],[FECHA]],ventasdiarias[],3,FALSE)</f>
        <v>25.17</v>
      </c>
      <c r="J19" s="56">
        <v>457.74</v>
      </c>
      <c r="K19" s="56"/>
      <c r="L19" s="102">
        <f>(gastoseventuales[[#This Row],[BS]]/gastoseventuales[[#This Row],[TASA]])+gastoseventuales[[#This Row],[DOLARES]]</f>
        <v>18.185935637663885</v>
      </c>
    </row>
    <row r="20" spans="1:12" x14ac:dyDescent="0.25">
      <c r="A20" s="27" t="s">
        <v>41</v>
      </c>
      <c r="B20" s="28"/>
      <c r="C20" s="25" t="s">
        <v>46</v>
      </c>
      <c r="D20" s="29"/>
      <c r="E20" s="46"/>
      <c r="F20" s="100" t="s">
        <v>190</v>
      </c>
      <c r="G20" s="57">
        <v>45059</v>
      </c>
      <c r="H20" s="56" t="s">
        <v>204</v>
      </c>
      <c r="I20" s="56">
        <f>VLOOKUP(gastoseventuales[[#This Row],[FECHA]],ventasdiarias[],3,FALSE)</f>
        <v>25.17</v>
      </c>
      <c r="J20" s="56"/>
      <c r="K20" s="56">
        <v>40</v>
      </c>
      <c r="L20" s="102">
        <f>(gastoseventuales[[#This Row],[BS]]/gastoseventuales[[#This Row],[TASA]])+gastoseventuales[[#This Row],[DOLARES]]</f>
        <v>40</v>
      </c>
    </row>
    <row r="21" spans="1:12" x14ac:dyDescent="0.25">
      <c r="A21" s="24" t="s">
        <v>66</v>
      </c>
      <c r="B21" s="25" t="s">
        <v>51</v>
      </c>
      <c r="C21" s="25" t="s">
        <v>46</v>
      </c>
      <c r="D21" s="26">
        <v>15</v>
      </c>
      <c r="E21" s="46"/>
      <c r="F21" s="100" t="s">
        <v>188</v>
      </c>
      <c r="G21" s="57">
        <v>45054</v>
      </c>
      <c r="H21" s="56" t="s">
        <v>204</v>
      </c>
      <c r="I21" s="56">
        <f>VLOOKUP(gastoseventuales[[#This Row],[FECHA]],ventasdiarias[],3,FALSE)</f>
        <v>25.5</v>
      </c>
      <c r="J21" s="56"/>
      <c r="K21" s="56">
        <v>100</v>
      </c>
      <c r="L21" s="102">
        <f>(gastoseventuales[[#This Row],[BS]]/gastoseventuales[[#This Row],[TASA]])+gastoseventuales[[#This Row],[DOLARES]]</f>
        <v>100</v>
      </c>
    </row>
    <row r="22" spans="1:12" x14ac:dyDescent="0.25">
      <c r="A22" s="24" t="s">
        <v>67</v>
      </c>
      <c r="B22" s="25" t="s">
        <v>51</v>
      </c>
      <c r="C22" s="25" t="s">
        <v>147</v>
      </c>
      <c r="D22" s="26">
        <v>40</v>
      </c>
      <c r="E22" s="46"/>
      <c r="F22" s="100" t="s">
        <v>195</v>
      </c>
      <c r="G22" s="57">
        <v>45052</v>
      </c>
      <c r="H22" s="56" t="s">
        <v>105</v>
      </c>
      <c r="I22" s="56">
        <f>VLOOKUP(gastoseventuales[[#This Row],[FECHA]],ventasdiarias[],3,FALSE)</f>
        <v>25.05</v>
      </c>
      <c r="J22" s="56"/>
      <c r="K22" s="56">
        <v>500</v>
      </c>
      <c r="L22" s="102">
        <f>(gastoseventuales[[#This Row],[BS]]/gastoseventuales[[#This Row],[TASA]])+gastoseventuales[[#This Row],[DOLARES]]</f>
        <v>500</v>
      </c>
    </row>
    <row r="23" spans="1:12" x14ac:dyDescent="0.25">
      <c r="A23" s="27" t="s">
        <v>68</v>
      </c>
      <c r="B23" s="28" t="s">
        <v>50</v>
      </c>
      <c r="C23" s="25" t="s">
        <v>147</v>
      </c>
      <c r="D23" s="29">
        <v>50</v>
      </c>
      <c r="E23" s="46"/>
      <c r="F23" s="100" t="s">
        <v>192</v>
      </c>
      <c r="G23" s="57">
        <v>45052</v>
      </c>
      <c r="H23" s="56" t="s">
        <v>105</v>
      </c>
      <c r="I23" s="56">
        <f>VLOOKUP(gastoseventuales[[#This Row],[FECHA]],ventasdiarias[],3,FALSE)</f>
        <v>25.05</v>
      </c>
      <c r="J23" s="56"/>
      <c r="K23" s="56">
        <v>190</v>
      </c>
      <c r="L23" s="102">
        <f>(gastoseventuales[[#This Row],[BS]]/gastoseventuales[[#This Row],[TASA]])+gastoseventuales[[#This Row],[DOLARES]]</f>
        <v>190</v>
      </c>
    </row>
    <row r="24" spans="1:12" x14ac:dyDescent="0.25">
      <c r="A24" s="24" t="s">
        <v>91</v>
      </c>
      <c r="B24" s="25" t="s">
        <v>52</v>
      </c>
      <c r="C24" s="25" t="s">
        <v>147</v>
      </c>
      <c r="D24" s="26"/>
      <c r="E24" s="46"/>
      <c r="F24" s="100" t="s">
        <v>185</v>
      </c>
      <c r="G24" s="57">
        <v>45046</v>
      </c>
      <c r="H24" s="56" t="s">
        <v>99</v>
      </c>
      <c r="I24" s="56">
        <f>VLOOKUP(gastoseventuales[[#This Row],[FECHA]],ventasdiarias[],3,FALSE)</f>
        <v>24.71</v>
      </c>
      <c r="J24" s="56"/>
      <c r="K24" s="56">
        <v>500</v>
      </c>
      <c r="L24" s="102">
        <f>(gastoseventuales[[#This Row],[BS]]/gastoseventuales[[#This Row],[TASA]])+gastoseventuales[[#This Row],[DOLARES]]</f>
        <v>500</v>
      </c>
    </row>
    <row r="25" spans="1:12" x14ac:dyDescent="0.25">
      <c r="E25" s="46"/>
      <c r="F25" s="100" t="s">
        <v>48</v>
      </c>
      <c r="G25" s="57">
        <v>45046</v>
      </c>
      <c r="H25" s="56" t="s">
        <v>99</v>
      </c>
      <c r="I25" s="56">
        <f>VLOOKUP(gastoseventuales[[#This Row],[FECHA]],ventasdiarias[],3,FALSE)</f>
        <v>24.71</v>
      </c>
      <c r="J25" s="56">
        <v>370.65</v>
      </c>
      <c r="K25" s="56">
        <v>60</v>
      </c>
      <c r="L25" s="102">
        <f>(gastoseventuales[[#This Row],[BS]]/gastoseventuales[[#This Row],[TASA]])+gastoseventuales[[#This Row],[DOLARES]]</f>
        <v>75</v>
      </c>
    </row>
    <row r="26" spans="1:12" x14ac:dyDescent="0.25">
      <c r="E26" s="46"/>
      <c r="F26" s="100" t="s">
        <v>184</v>
      </c>
      <c r="G26" s="57">
        <v>45046</v>
      </c>
      <c r="H26" s="56" t="s">
        <v>99</v>
      </c>
      <c r="I26" s="56">
        <f>VLOOKUP(gastoseventuales[[#This Row],[FECHA]],ventasdiarias[],3,FALSE)</f>
        <v>24.71</v>
      </c>
      <c r="J26" s="56"/>
      <c r="K26" s="56">
        <v>50</v>
      </c>
      <c r="L26" s="102">
        <f>(gastoseventuales[[#This Row],[BS]]/gastoseventuales[[#This Row],[TASA]])+gastoseventuales[[#This Row],[DOLARES]]</f>
        <v>50</v>
      </c>
    </row>
    <row r="27" spans="1:12" x14ac:dyDescent="0.25">
      <c r="E27" s="46"/>
      <c r="F27" s="100" t="s">
        <v>170</v>
      </c>
      <c r="G27" s="57">
        <v>45040</v>
      </c>
      <c r="H27" s="56" t="s">
        <v>204</v>
      </c>
      <c r="I27" s="56">
        <f>VLOOKUP(gastoseventuales[[#This Row],[FECHA]],ventasdiarias[],3,FALSE)</f>
        <v>24.67</v>
      </c>
      <c r="J27" s="56"/>
      <c r="K27" s="56">
        <v>500</v>
      </c>
      <c r="L27" s="102">
        <f>(gastoseventuales[[#This Row],[BS]]/gastoseventuales[[#This Row],[TASA]])+gastoseventuales[[#This Row],[DOLARES]]</f>
        <v>500</v>
      </c>
    </row>
    <row r="28" spans="1:12" x14ac:dyDescent="0.25">
      <c r="F28" s="100" t="s">
        <v>183</v>
      </c>
      <c r="G28" s="57">
        <v>45038</v>
      </c>
      <c r="H28" s="56" t="s">
        <v>105</v>
      </c>
      <c r="I28" s="56">
        <f>VLOOKUP(gastoseventuales[[#This Row],[FECHA]],ventasdiarias[],3,FALSE)</f>
        <v>24.57</v>
      </c>
      <c r="J28" s="56"/>
      <c r="K28" s="56">
        <v>40</v>
      </c>
      <c r="L28" s="102">
        <f>(gastoseventuales[[#This Row],[BS]]/gastoseventuales[[#This Row],[TASA]])+gastoseventuales[[#This Row],[DOLARES]]</f>
        <v>40</v>
      </c>
    </row>
    <row r="29" spans="1:12" x14ac:dyDescent="0.25">
      <c r="F29" s="100" t="s">
        <v>170</v>
      </c>
      <c r="G29" s="57">
        <v>45034</v>
      </c>
      <c r="H29" s="56" t="s">
        <v>204</v>
      </c>
      <c r="I29" s="56">
        <f>VLOOKUP(gastoseventuales[[#This Row],[FECHA]],ventasdiarias[],3,FALSE)</f>
        <v>24.56</v>
      </c>
      <c r="J29" s="56"/>
      <c r="K29" s="56">
        <v>60</v>
      </c>
      <c r="L29" s="102">
        <f>(gastoseventuales[[#This Row],[BS]]/gastoseventuales[[#This Row],[TASA]])+gastoseventuales[[#This Row],[DOLARES]]</f>
        <v>60</v>
      </c>
    </row>
    <row r="30" spans="1:12" x14ac:dyDescent="0.25">
      <c r="F30" s="100" t="s">
        <v>174</v>
      </c>
      <c r="G30" s="57">
        <v>45033</v>
      </c>
      <c r="H30" s="56" t="s">
        <v>204</v>
      </c>
      <c r="I30" s="56">
        <f>VLOOKUP(gastoseventuales[[#This Row],[FECHA]],ventasdiarias[],3,FALSE)</f>
        <v>24.57</v>
      </c>
      <c r="J30" s="56"/>
      <c r="K30" s="56">
        <v>200</v>
      </c>
      <c r="L30" s="102">
        <f>(gastoseventuales[[#This Row],[BS]]/gastoseventuales[[#This Row],[TASA]])+gastoseventuales[[#This Row],[DOLARES]]</f>
        <v>200</v>
      </c>
    </row>
    <row r="31" spans="1:12" x14ac:dyDescent="0.25">
      <c r="F31" s="100" t="s">
        <v>179</v>
      </c>
      <c r="G31" s="57">
        <v>45033</v>
      </c>
      <c r="H31" s="56" t="s">
        <v>108</v>
      </c>
      <c r="I31" s="56">
        <f>VLOOKUP(gastoseventuales[[#This Row],[FECHA]],ventasdiarias[],3,FALSE)</f>
        <v>24.57</v>
      </c>
      <c r="J31" s="56"/>
      <c r="K31" s="56">
        <v>30</v>
      </c>
      <c r="L31" s="102">
        <f>(gastoseventuales[[#This Row],[BS]]/gastoseventuales[[#This Row],[TASA]])+gastoseventuales[[#This Row],[DOLARES]]</f>
        <v>30</v>
      </c>
    </row>
    <row r="32" spans="1:12" x14ac:dyDescent="0.25">
      <c r="F32" s="100" t="s">
        <v>180</v>
      </c>
      <c r="G32" s="57">
        <v>45033</v>
      </c>
      <c r="H32" s="56" t="s">
        <v>99</v>
      </c>
      <c r="I32" s="56">
        <f>VLOOKUP(gastoseventuales[[#This Row],[FECHA]],ventasdiarias[],3,FALSE)</f>
        <v>24.57</v>
      </c>
      <c r="J32" s="56"/>
      <c r="K32" s="56">
        <v>23</v>
      </c>
      <c r="L32" s="102">
        <f>(gastoseventuales[[#This Row],[BS]]/gastoseventuales[[#This Row],[TASA]])+gastoseventuales[[#This Row],[DOLARES]]</f>
        <v>23</v>
      </c>
    </row>
    <row r="33" spans="6:12" x14ac:dyDescent="0.25">
      <c r="F33" s="100" t="s">
        <v>101</v>
      </c>
      <c r="G33" s="57">
        <v>45033</v>
      </c>
      <c r="H33" s="56" t="s">
        <v>108</v>
      </c>
      <c r="I33" s="56">
        <f>VLOOKUP(gastoseventuales[[#This Row],[FECHA]],ventasdiarias[],3,FALSE)</f>
        <v>24.57</v>
      </c>
      <c r="J33" s="56"/>
      <c r="K33" s="56">
        <v>2</v>
      </c>
      <c r="L33" s="102">
        <f>(gastoseventuales[[#This Row],[BS]]/gastoseventuales[[#This Row],[TASA]])+gastoseventuales[[#This Row],[DOLARES]]</f>
        <v>2</v>
      </c>
    </row>
    <row r="34" spans="6:12" x14ac:dyDescent="0.25">
      <c r="F34" s="100" t="s">
        <v>47</v>
      </c>
      <c r="G34" s="57">
        <v>45031</v>
      </c>
      <c r="H34" s="56" t="s">
        <v>108</v>
      </c>
      <c r="I34" s="56">
        <f>VLOOKUP(gastoseventuales[[#This Row],[FECHA]],ventasdiarias[],3,FALSE)</f>
        <v>24.54</v>
      </c>
      <c r="J34" s="56">
        <v>368.1</v>
      </c>
      <c r="K34" s="56">
        <v>60</v>
      </c>
      <c r="L34" s="102">
        <f>(gastoseventuales[[#This Row],[BS]]/gastoseventuales[[#This Row],[TASA]])+gastoseventuales[[#This Row],[DOLARES]]</f>
        <v>75</v>
      </c>
    </row>
    <row r="35" spans="6:12" x14ac:dyDescent="0.25">
      <c r="F35" s="100" t="s">
        <v>67</v>
      </c>
      <c r="G35" s="57">
        <v>45029</v>
      </c>
      <c r="H35" s="56" t="s">
        <v>108</v>
      </c>
      <c r="I35" s="56">
        <f>VLOOKUP(gastoseventuales[[#This Row],[FECHA]],ventasdiarias[],3,FALSE)</f>
        <v>24.48</v>
      </c>
      <c r="J35" s="56"/>
      <c r="K35" s="56">
        <v>40</v>
      </c>
      <c r="L35" s="102">
        <f>(gastoseventuales[[#This Row],[BS]]/gastoseventuales[[#This Row],[TASA]])+gastoseventuales[[#This Row],[DOLARES]]</f>
        <v>40</v>
      </c>
    </row>
    <row r="36" spans="6:12" x14ac:dyDescent="0.25">
      <c r="F36" s="100" t="s">
        <v>173</v>
      </c>
      <c r="G36" s="57">
        <v>45029</v>
      </c>
      <c r="H36" s="56" t="s">
        <v>204</v>
      </c>
      <c r="I36" s="56">
        <f>VLOOKUP(gastoseventuales[[#This Row],[FECHA]],ventasdiarias[],3,FALSE)</f>
        <v>24.48</v>
      </c>
      <c r="J36" s="56"/>
      <c r="K36" s="56">
        <v>49</v>
      </c>
      <c r="L36" s="102">
        <f>(gastoseventuales[[#This Row],[BS]]/gastoseventuales[[#This Row],[TASA]])+gastoseventuales[[#This Row],[DOLARES]]</f>
        <v>49</v>
      </c>
    </row>
    <row r="37" spans="6:12" x14ac:dyDescent="0.25">
      <c r="F37" s="100" t="s">
        <v>178</v>
      </c>
      <c r="G37" s="57">
        <v>45029</v>
      </c>
      <c r="H37" s="56" t="s">
        <v>105</v>
      </c>
      <c r="I37" s="56">
        <f>VLOOKUP(gastoseventuales[[#This Row],[FECHA]],ventasdiarias[],3,FALSE)</f>
        <v>24.48</v>
      </c>
      <c r="J37" s="56"/>
      <c r="K37" s="56">
        <v>20</v>
      </c>
      <c r="L37" s="102">
        <f>(gastoseventuales[[#This Row],[BS]]/gastoseventuales[[#This Row],[TASA]])+gastoseventuales[[#This Row],[DOLARES]]</f>
        <v>20</v>
      </c>
    </row>
    <row r="38" spans="6:12" x14ac:dyDescent="0.25">
      <c r="F38" s="100" t="s">
        <v>175</v>
      </c>
      <c r="G38" s="57">
        <v>45021</v>
      </c>
      <c r="H38" s="56" t="s">
        <v>105</v>
      </c>
      <c r="I38" s="56">
        <f>VLOOKUP(gastoseventuales[[#This Row],[FECHA]],ventasdiarias[],3,FALSE)</f>
        <v>24.44</v>
      </c>
      <c r="J38" s="56"/>
      <c r="K38" s="56">
        <v>6</v>
      </c>
      <c r="L38" s="102">
        <f>(gastoseventuales[[#This Row],[BS]]/gastoseventuales[[#This Row],[TASA]])+gastoseventuales[[#This Row],[DOLARES]]</f>
        <v>6</v>
      </c>
    </row>
    <row r="39" spans="6:12" x14ac:dyDescent="0.25">
      <c r="F39" s="100" t="s">
        <v>163</v>
      </c>
      <c r="G39" s="57">
        <v>45016</v>
      </c>
      <c r="H39" s="56" t="s">
        <v>108</v>
      </c>
      <c r="I39" s="56">
        <f>VLOOKUP(gastoseventuales[[#This Row],[FECHA]],ventasdiarias[],3,FALSE)</f>
        <v>24.48</v>
      </c>
      <c r="J39" s="56">
        <v>367.2</v>
      </c>
      <c r="K39" s="56">
        <v>60</v>
      </c>
      <c r="L39" s="102">
        <f>(gastoseventuales[[#This Row],[BS]]/gastoseventuales[[#This Row],[TASA]])+gastoseventuales[[#This Row],[DOLARES]]</f>
        <v>75</v>
      </c>
    </row>
    <row r="40" spans="6:12" x14ac:dyDescent="0.25">
      <c r="F40" s="100" t="s">
        <v>170</v>
      </c>
      <c r="G40" s="57">
        <v>45016</v>
      </c>
      <c r="H40" s="56" t="s">
        <v>204</v>
      </c>
      <c r="I40" s="56">
        <f>VLOOKUP(gastoseventuales[[#This Row],[FECHA]],ventasdiarias[],3,FALSE)</f>
        <v>24.48</v>
      </c>
      <c r="J40" s="56"/>
      <c r="K40" s="56">
        <v>100</v>
      </c>
      <c r="L40" s="102">
        <f>(gastoseventuales[[#This Row],[BS]]/gastoseventuales[[#This Row],[TASA]])+gastoseventuales[[#This Row],[DOLARES]]</f>
        <v>100</v>
      </c>
    </row>
    <row r="41" spans="6:12" x14ac:dyDescent="0.25">
      <c r="F41" s="100" t="s">
        <v>171</v>
      </c>
      <c r="G41" s="57">
        <v>45016</v>
      </c>
      <c r="H41" s="56" t="s">
        <v>108</v>
      </c>
      <c r="I41" s="56">
        <f>VLOOKUP(gastoseventuales[[#This Row],[FECHA]],ventasdiarias[],3,FALSE)</f>
        <v>24.48</v>
      </c>
      <c r="J41" s="56"/>
      <c r="K41" s="56">
        <v>500</v>
      </c>
      <c r="L41" s="102">
        <f>(gastoseventuales[[#This Row],[BS]]/gastoseventuales[[#This Row],[TASA]])+gastoseventuales[[#This Row],[DOLARES]]</f>
        <v>500</v>
      </c>
    </row>
    <row r="42" spans="6:12" x14ac:dyDescent="0.25">
      <c r="F42" s="100" t="s">
        <v>172</v>
      </c>
      <c r="G42" s="57">
        <v>45016</v>
      </c>
      <c r="H42" s="56" t="s">
        <v>108</v>
      </c>
      <c r="I42" s="56">
        <f>VLOOKUP(gastoseventuales[[#This Row],[FECHA]],ventasdiarias[],3,FALSE)</f>
        <v>24.48</v>
      </c>
      <c r="J42" s="56">
        <v>153</v>
      </c>
      <c r="K42" s="56"/>
      <c r="L42" s="102">
        <f>(gastoseventuales[[#This Row],[BS]]/gastoseventuales[[#This Row],[TASA]])+gastoseventuales[[#This Row],[DOLARES]]</f>
        <v>6.25</v>
      </c>
    </row>
    <row r="43" spans="6:12" x14ac:dyDescent="0.25">
      <c r="F43" s="100" t="s">
        <v>169</v>
      </c>
      <c r="G43" s="57">
        <v>45010</v>
      </c>
      <c r="H43" s="56" t="s">
        <v>105</v>
      </c>
      <c r="I43" s="56">
        <f>VLOOKUP(gastoseventuales[[#This Row],[FECHA]],ventasdiarias[],3,FALSE)</f>
        <v>24.3</v>
      </c>
      <c r="J43" s="56"/>
      <c r="K43" s="56">
        <v>120</v>
      </c>
      <c r="L43" s="102">
        <f>(gastoseventuales[[#This Row],[BS]]/gastoseventuales[[#This Row],[TASA]])+gastoseventuales[[#This Row],[DOLARES]]</f>
        <v>120</v>
      </c>
    </row>
    <row r="44" spans="6:12" x14ac:dyDescent="0.25">
      <c r="F44" s="100"/>
      <c r="G44" s="57">
        <v>45010</v>
      </c>
      <c r="H44" s="56" t="s">
        <v>105</v>
      </c>
      <c r="I44" s="56">
        <f>VLOOKUP(gastoseventuales[[#This Row],[FECHA]],ventasdiarias[],3,FALSE)</f>
        <v>24.3</v>
      </c>
      <c r="J44" s="56">
        <v>46</v>
      </c>
      <c r="K44" s="56"/>
      <c r="L44" s="102">
        <f>(gastoseventuales[[#This Row],[BS]]/gastoseventuales[[#This Row],[TASA]])+gastoseventuales[[#This Row],[DOLARES]]</f>
        <v>1.8930041152263375</v>
      </c>
    </row>
    <row r="45" spans="6:12" x14ac:dyDescent="0.25">
      <c r="F45" s="100" t="s">
        <v>168</v>
      </c>
      <c r="G45" s="57">
        <v>45002</v>
      </c>
      <c r="H45" s="56" t="s">
        <v>105</v>
      </c>
      <c r="I45" s="56">
        <f>VLOOKUP(gastoseventuales[[#This Row],[FECHA]],ventasdiarias[],3,FALSE)</f>
        <v>24.06</v>
      </c>
      <c r="J45" s="56"/>
      <c r="K45" s="56">
        <v>20</v>
      </c>
      <c r="L45" s="102">
        <f>(gastoseventuales[[#This Row],[BS]]/gastoseventuales[[#This Row],[TASA]])+gastoseventuales[[#This Row],[DOLARES]]</f>
        <v>20</v>
      </c>
    </row>
    <row r="46" spans="6:12" x14ac:dyDescent="0.25">
      <c r="F46" s="100" t="s">
        <v>148</v>
      </c>
      <c r="G46" s="57">
        <v>45001</v>
      </c>
      <c r="H46" s="56" t="s">
        <v>108</v>
      </c>
      <c r="I46" s="56">
        <f>VLOOKUP(gastoseventuales[[#This Row],[FECHA]],ventasdiarias[],3,FALSE)</f>
        <v>24.06</v>
      </c>
      <c r="J46" s="56">
        <v>240.6</v>
      </c>
      <c r="K46" s="56">
        <v>40</v>
      </c>
      <c r="L46" s="102">
        <f>(gastoseventuales[[#This Row],[BS]]/gastoseventuales[[#This Row],[TASA]])+gastoseventuales[[#This Row],[DOLARES]]</f>
        <v>50</v>
      </c>
    </row>
    <row r="47" spans="6:12" x14ac:dyDescent="0.25">
      <c r="F47" s="100" t="s">
        <v>167</v>
      </c>
      <c r="G47" s="57">
        <v>45000</v>
      </c>
      <c r="H47" s="56" t="s">
        <v>105</v>
      </c>
      <c r="I47" s="56">
        <f>VLOOKUP(gastoseventuales[[#This Row],[FECHA]],ventasdiarias[],3,FALSE)</f>
        <v>24.06</v>
      </c>
      <c r="J47" s="56">
        <v>6</v>
      </c>
      <c r="K47" s="56"/>
      <c r="L47" s="102">
        <f>(gastoseventuales[[#This Row],[BS]]/gastoseventuales[[#This Row],[TASA]])+gastoseventuales[[#This Row],[DOLARES]]</f>
        <v>0.24937655860349128</v>
      </c>
    </row>
    <row r="48" spans="6:12" x14ac:dyDescent="0.25">
      <c r="F48" s="100" t="s">
        <v>128</v>
      </c>
      <c r="G48" s="57">
        <v>44996</v>
      </c>
      <c r="H48" s="56" t="s">
        <v>204</v>
      </c>
      <c r="I48" s="56">
        <f>VLOOKUP(gastoseventuales[[#This Row],[FECHA]],ventasdiarias[],3,FALSE)</f>
        <v>24.13</v>
      </c>
      <c r="J48" s="56"/>
      <c r="K48" s="56">
        <v>20</v>
      </c>
      <c r="L48" s="102">
        <f>(gastoseventuales[[#This Row],[BS]]/gastoseventuales[[#This Row],[TASA]])+gastoseventuales[[#This Row],[DOLARES]]</f>
        <v>20</v>
      </c>
    </row>
    <row r="49" spans="6:12" x14ac:dyDescent="0.25">
      <c r="F49" s="100" t="s">
        <v>127</v>
      </c>
      <c r="G49" s="57">
        <v>44994</v>
      </c>
      <c r="H49" s="56" t="s">
        <v>105</v>
      </c>
      <c r="I49" s="56">
        <f>VLOOKUP(gastoseventuales[[#This Row],[FECHA]],ventasdiarias[],3,FALSE)</f>
        <v>24.16</v>
      </c>
      <c r="J49" s="56"/>
      <c r="K49" s="56">
        <v>160</v>
      </c>
      <c r="L49" s="102">
        <f>(gastoseventuales[[#This Row],[BS]]/gastoseventuales[[#This Row],[TASA]])+gastoseventuales[[#This Row],[DOLARES]]</f>
        <v>160</v>
      </c>
    </row>
    <row r="50" spans="6:12" x14ac:dyDescent="0.25">
      <c r="F50" s="100"/>
      <c r="G50" s="57"/>
      <c r="H50" s="56"/>
      <c r="I50" s="56"/>
      <c r="J50" s="56"/>
      <c r="K50" s="56"/>
      <c r="L50" s="102"/>
    </row>
    <row r="51" spans="6:12" x14ac:dyDescent="0.25">
      <c r="F51" s="100"/>
      <c r="G51" s="57"/>
      <c r="H51" s="56"/>
      <c r="I51" s="56"/>
      <c r="J51" s="56"/>
      <c r="K51" s="56"/>
      <c r="L51" s="102"/>
    </row>
    <row r="52" spans="6:12" x14ac:dyDescent="0.25">
      <c r="F52" s="100"/>
      <c r="G52" s="57"/>
      <c r="H52" s="56"/>
      <c r="I52" s="56"/>
      <c r="J52" s="56"/>
      <c r="K52" s="56"/>
      <c r="L52" s="102"/>
    </row>
    <row r="53" spans="6:12" x14ac:dyDescent="0.25">
      <c r="F53" s="100"/>
      <c r="G53" s="57"/>
      <c r="H53" s="56"/>
      <c r="I53" s="56"/>
      <c r="J53" s="56"/>
      <c r="K53" s="56"/>
      <c r="L53" s="102"/>
    </row>
    <row r="54" spans="6:12" x14ac:dyDescent="0.25">
      <c r="F54" s="100"/>
      <c r="G54" s="57"/>
      <c r="H54" s="56"/>
      <c r="I54" s="56"/>
      <c r="J54" s="56"/>
      <c r="K54" s="56"/>
      <c r="L54" s="102"/>
    </row>
    <row r="55" spans="6:12" x14ac:dyDescent="0.25">
      <c r="F55" s="100"/>
      <c r="G55" s="57"/>
      <c r="H55" s="56"/>
      <c r="I55" s="56"/>
      <c r="J55" s="56"/>
      <c r="K55" s="56"/>
      <c r="L55" s="102"/>
    </row>
    <row r="56" spans="6:12" x14ac:dyDescent="0.25">
      <c r="F56" s="100"/>
      <c r="G56" s="57"/>
      <c r="H56" s="56"/>
      <c r="I56" s="56"/>
      <c r="J56" s="56"/>
      <c r="K56" s="56"/>
      <c r="L56" s="102"/>
    </row>
    <row r="57" spans="6:12" x14ac:dyDescent="0.25">
      <c r="F57" s="100"/>
      <c r="G57" s="57"/>
      <c r="H57" s="56"/>
      <c r="I57" s="56"/>
      <c r="J57" s="56"/>
      <c r="K57" s="56"/>
      <c r="L57" s="102"/>
    </row>
    <row r="58" spans="6:12" x14ac:dyDescent="0.25">
      <c r="F58" s="100"/>
      <c r="G58" s="57"/>
      <c r="H58" s="56"/>
      <c r="I58" s="56"/>
      <c r="J58" s="56"/>
      <c r="K58" s="56"/>
      <c r="L58" s="102"/>
    </row>
    <row r="59" spans="6:12" x14ac:dyDescent="0.25">
      <c r="F59" s="100"/>
      <c r="G59" s="57"/>
      <c r="H59" s="56"/>
      <c r="I59" s="56"/>
      <c r="J59" s="56"/>
      <c r="K59" s="56"/>
      <c r="L59" s="102"/>
    </row>
    <row r="60" spans="6:12" x14ac:dyDescent="0.25">
      <c r="F60" s="100"/>
      <c r="G60" s="57"/>
      <c r="H60" s="56"/>
      <c r="I60" s="56"/>
      <c r="J60" s="56"/>
      <c r="K60" s="56"/>
      <c r="L60" s="102"/>
    </row>
    <row r="61" spans="6:12" x14ac:dyDescent="0.25">
      <c r="F61" s="100" t="s">
        <v>67</v>
      </c>
      <c r="G61" s="57">
        <v>44956</v>
      </c>
      <c r="H61" s="57" t="s">
        <v>108</v>
      </c>
      <c r="I61" s="56">
        <f>VLOOKUP(gastoseventuales[[#This Row],[FECHA]],ventasdiarias[],3,FALSE)</f>
        <v>21.96</v>
      </c>
      <c r="J61" s="56"/>
      <c r="K61" s="56">
        <v>40</v>
      </c>
      <c r="L61" s="102">
        <f>(gastoseventuales[[#This Row],[BS]]/gastoseventuales[[#This Row],[TASA]])+gastoseventuales[[#This Row],[DOLARES]]</f>
        <v>40</v>
      </c>
    </row>
    <row r="62" spans="6:12" x14ac:dyDescent="0.25">
      <c r="F62" s="100" t="s">
        <v>68</v>
      </c>
      <c r="G62" s="57">
        <v>44956</v>
      </c>
      <c r="H62" s="57" t="s">
        <v>108</v>
      </c>
      <c r="I62" s="56">
        <f>VLOOKUP(gastoseventuales[[#This Row],[FECHA]],ventasdiarias[],3,FALSE)</f>
        <v>21.96</v>
      </c>
      <c r="J62" s="56"/>
      <c r="K62" s="56">
        <v>50</v>
      </c>
      <c r="L62" s="102">
        <f>(gastoseventuales[[#This Row],[BS]]/gastoseventuales[[#This Row],[TASA]])+gastoseventuales[[#This Row],[DOLARES]]</f>
        <v>50</v>
      </c>
    </row>
    <row r="63" spans="6:12" x14ac:dyDescent="0.25">
      <c r="F63" s="100" t="s">
        <v>126</v>
      </c>
      <c r="G63" s="57">
        <v>44956</v>
      </c>
      <c r="H63" s="57" t="s">
        <v>99</v>
      </c>
      <c r="I63" s="56">
        <f>VLOOKUP(gastoseventuales[[#This Row],[FECHA]],ventasdiarias[],3,FALSE)</f>
        <v>21.96</v>
      </c>
      <c r="J63" s="56"/>
      <c r="K63" s="56">
        <v>400</v>
      </c>
      <c r="L63" s="102">
        <f>(gastoseventuales[[#This Row],[BS]]/gastoseventuales[[#This Row],[TASA]])+gastoseventuales[[#This Row],[DOLARES]]</f>
        <v>400</v>
      </c>
    </row>
    <row r="64" spans="6:12" x14ac:dyDescent="0.25">
      <c r="F64" s="100" t="s">
        <v>48</v>
      </c>
      <c r="G64" s="57">
        <v>44956</v>
      </c>
      <c r="H64" s="57" t="s">
        <v>99</v>
      </c>
      <c r="I64" s="56">
        <f>VLOOKUP(gastoseventuales[[#This Row],[FECHA]],ventasdiarias[],3,FALSE)</f>
        <v>21.96</v>
      </c>
      <c r="J64" s="56"/>
      <c r="K64" s="56">
        <v>50</v>
      </c>
      <c r="L64" s="102">
        <f>(gastoseventuales[[#This Row],[BS]]/gastoseventuales[[#This Row],[TASA]])+gastoseventuales[[#This Row],[DOLARES]]</f>
        <v>50</v>
      </c>
    </row>
    <row r="65" spans="6:12" x14ac:dyDescent="0.25">
      <c r="F65" s="100" t="s">
        <v>93</v>
      </c>
      <c r="G65" s="57">
        <v>44956</v>
      </c>
      <c r="H65" s="57" t="s">
        <v>99</v>
      </c>
      <c r="I65" s="56">
        <f>VLOOKUP(gastoseventuales[[#This Row],[FECHA]],ventasdiarias[],3,FALSE)</f>
        <v>21.96</v>
      </c>
      <c r="J65" s="56"/>
      <c r="K65" s="56">
        <v>20</v>
      </c>
      <c r="L65" s="102">
        <f>(gastoseventuales[[#This Row],[BS]]/gastoseventuales[[#This Row],[TASA]])+gastoseventuales[[#This Row],[DOLARES]]</f>
        <v>20</v>
      </c>
    </row>
    <row r="66" spans="6:12" x14ac:dyDescent="0.25">
      <c r="F66" s="100" t="s">
        <v>125</v>
      </c>
      <c r="G66" s="57">
        <v>44956</v>
      </c>
      <c r="H66" s="57" t="s">
        <v>108</v>
      </c>
      <c r="I66" s="56">
        <f>VLOOKUP(gastoseventuales[[#This Row],[FECHA]],ventasdiarias[],3,FALSE)</f>
        <v>21.96</v>
      </c>
      <c r="J66" s="56">
        <v>768.5</v>
      </c>
      <c r="K66" s="56"/>
      <c r="L66" s="102">
        <f>(gastoseventuales[[#This Row],[BS]]/gastoseventuales[[#This Row],[TASA]])+gastoseventuales[[#This Row],[DOLARES]]</f>
        <v>34.995446265938071</v>
      </c>
    </row>
    <row r="67" spans="6:12" x14ac:dyDescent="0.25">
      <c r="F67" s="100" t="s">
        <v>124</v>
      </c>
      <c r="G67" s="57">
        <v>44953</v>
      </c>
      <c r="H67" s="57" t="s">
        <v>99</v>
      </c>
      <c r="I67" s="56">
        <f>VLOOKUP(gastoseventuales[[#This Row],[FECHA]],ventasdiarias[],3,FALSE)</f>
        <v>21.72</v>
      </c>
      <c r="J67" s="56">
        <v>1303.2</v>
      </c>
      <c r="K67" s="56"/>
      <c r="L67" s="102">
        <f>(gastoseventuales[[#This Row],[BS]]/gastoseventuales[[#This Row],[TASA]])+gastoseventuales[[#This Row],[DOLARES]]</f>
        <v>60.000000000000007</v>
      </c>
    </row>
    <row r="68" spans="6:12" x14ac:dyDescent="0.25">
      <c r="F68" s="100" t="s">
        <v>122</v>
      </c>
      <c r="G68" s="57">
        <v>44952</v>
      </c>
      <c r="H68" s="57" t="s">
        <v>204</v>
      </c>
      <c r="I68" s="56">
        <f>VLOOKUP(gastoseventuales[[#This Row],[FECHA]],ventasdiarias[],3,FALSE)</f>
        <v>21.31</v>
      </c>
      <c r="J68" s="56">
        <v>249</v>
      </c>
      <c r="K68" s="56"/>
      <c r="L68" s="102">
        <f>(gastoseventuales[[#This Row],[BS]]/gastoseventuales[[#This Row],[TASA]])+gastoseventuales[[#This Row],[DOLARES]]</f>
        <v>11.684655091506336</v>
      </c>
    </row>
    <row r="69" spans="6:12" x14ac:dyDescent="0.25">
      <c r="F69" s="100" t="s">
        <v>123</v>
      </c>
      <c r="G69" s="57">
        <v>44951</v>
      </c>
      <c r="H69" s="57" t="s">
        <v>204</v>
      </c>
      <c r="I69" s="56">
        <f>VLOOKUP(gastoseventuales[[#This Row],[FECHA]],ventasdiarias[],3,FALSE)</f>
        <v>21.17</v>
      </c>
      <c r="J69" s="56">
        <v>243.48</v>
      </c>
      <c r="K69" s="56"/>
      <c r="L69" s="102">
        <f>(gastoseventuales[[#This Row],[BS]]/gastoseventuales[[#This Row],[TASA]])+gastoseventuales[[#This Row],[DOLARES]]</f>
        <v>11.501180916391117</v>
      </c>
    </row>
    <row r="70" spans="6:12" x14ac:dyDescent="0.25">
      <c r="F70" s="100" t="s">
        <v>121</v>
      </c>
      <c r="G70" s="57">
        <v>44950</v>
      </c>
      <c r="H70" s="57" t="s">
        <v>108</v>
      </c>
      <c r="I70" s="56">
        <f>VLOOKUP(gastoseventuales[[#This Row],[FECHA]],ventasdiarias[],3,FALSE)</f>
        <v>20.73</v>
      </c>
      <c r="J70" s="56">
        <v>98.69</v>
      </c>
      <c r="K70" s="56"/>
      <c r="L70" s="102">
        <f>(gastoseventuales[[#This Row],[BS]]/gastoseventuales[[#This Row],[TASA]])+gastoseventuales[[#This Row],[DOLARES]]</f>
        <v>4.7607332368547999</v>
      </c>
    </row>
    <row r="71" spans="6:12" x14ac:dyDescent="0.25">
      <c r="F71" s="100" t="s">
        <v>120</v>
      </c>
      <c r="G71" s="57">
        <v>44946</v>
      </c>
      <c r="H71" s="57" t="s">
        <v>105</v>
      </c>
      <c r="I71" s="56">
        <f>VLOOKUP(gastoseventuales[[#This Row],[FECHA]],ventasdiarias[],3,FALSE)</f>
        <v>20.29</v>
      </c>
      <c r="J71" s="56"/>
      <c r="K71" s="56">
        <v>30</v>
      </c>
      <c r="L71" s="102">
        <f>(gastoseventuales[[#This Row],[BS]]/gastoseventuales[[#This Row],[TASA]])+gastoseventuales[[#This Row],[DOLARES]]</f>
        <v>30</v>
      </c>
    </row>
    <row r="72" spans="6:12" x14ac:dyDescent="0.25">
      <c r="F72" s="100" t="s">
        <v>101</v>
      </c>
      <c r="G72" s="57">
        <v>44946</v>
      </c>
      <c r="H72" s="57" t="s">
        <v>108</v>
      </c>
      <c r="I72" s="56">
        <f>VLOOKUP(gastoseventuales[[#This Row],[FECHA]],ventasdiarias[],3,FALSE)</f>
        <v>20.29</v>
      </c>
      <c r="J72" s="56">
        <v>40.58</v>
      </c>
      <c r="K72" s="56"/>
      <c r="L72" s="102">
        <f>(gastoseventuales[[#This Row],[BS]]/gastoseventuales[[#This Row],[TASA]])+gastoseventuales[[#This Row],[DOLARES]]</f>
        <v>2</v>
      </c>
    </row>
    <row r="73" spans="6:12" x14ac:dyDescent="0.25">
      <c r="F73" s="100" t="s">
        <v>17</v>
      </c>
      <c r="G73" s="57">
        <v>44946</v>
      </c>
      <c r="H73" s="57" t="s">
        <v>108</v>
      </c>
      <c r="I73" s="56">
        <f>VLOOKUP(gastoseventuales[[#This Row],[FECHA]],ventasdiarias[],3,FALSE)</f>
        <v>20.29</v>
      </c>
      <c r="J73" s="56">
        <v>275.91000000000003</v>
      </c>
      <c r="K73" s="56"/>
      <c r="L73" s="102">
        <f>(gastoseventuales[[#This Row],[BS]]/gastoseventuales[[#This Row],[TASA]])+gastoseventuales[[#This Row],[DOLARES]]</f>
        <v>13.59832429768359</v>
      </c>
    </row>
    <row r="74" spans="6:12" x14ac:dyDescent="0.25">
      <c r="F74" s="100" t="s">
        <v>94</v>
      </c>
      <c r="G74" s="57">
        <v>44944</v>
      </c>
      <c r="H74" s="57" t="s">
        <v>99</v>
      </c>
      <c r="I74" s="56">
        <f>VLOOKUP(gastoseventuales[[#This Row],[FECHA]],ventasdiarias[],3,FALSE)</f>
        <v>19.98</v>
      </c>
      <c r="J74" s="56"/>
      <c r="K74" s="56">
        <v>20</v>
      </c>
      <c r="L74" s="102">
        <f>(gastoseventuales[[#This Row],[BS]]/gastoseventuales[[#This Row],[TASA]])+gastoseventuales[[#This Row],[DOLARES]]</f>
        <v>20</v>
      </c>
    </row>
    <row r="75" spans="6:12" x14ac:dyDescent="0.25">
      <c r="F75" s="100" t="s">
        <v>47</v>
      </c>
      <c r="G75" s="57">
        <v>44942</v>
      </c>
      <c r="H75" s="57" t="s">
        <v>99</v>
      </c>
      <c r="I75" s="56">
        <f>VLOOKUP(gastoseventuales[[#This Row],[FECHA]],ventasdiarias[],3,FALSE)</f>
        <v>19.66</v>
      </c>
      <c r="J75" s="56">
        <v>194.5</v>
      </c>
      <c r="K75" s="56">
        <v>40</v>
      </c>
      <c r="L75" s="102">
        <f>(gastoseventuales[[#This Row],[BS]]/gastoseventuales[[#This Row],[TASA]])+gastoseventuales[[#This Row],[DOLARES]]</f>
        <v>49.893184130213633</v>
      </c>
    </row>
    <row r="76" spans="6:12" x14ac:dyDescent="0.25">
      <c r="F76" s="100" t="s">
        <v>116</v>
      </c>
      <c r="G76" s="57">
        <v>44942</v>
      </c>
      <c r="H76" s="57" t="s">
        <v>105</v>
      </c>
      <c r="I76" s="56">
        <f>VLOOKUP(gastoseventuales[[#This Row],[FECHA]],ventasdiarias[],3,FALSE)</f>
        <v>19.66</v>
      </c>
      <c r="J76" s="56">
        <v>332.42</v>
      </c>
      <c r="K76" s="56"/>
      <c r="L76" s="102">
        <f>(gastoseventuales[[#This Row],[BS]]/gastoseventuales[[#This Row],[TASA]])+gastoseventuales[[#This Row],[DOLARES]]</f>
        <v>16.908443540183114</v>
      </c>
    </row>
    <row r="77" spans="6:12" x14ac:dyDescent="0.25">
      <c r="F77" s="100" t="s">
        <v>116</v>
      </c>
      <c r="G77" s="57">
        <v>44942</v>
      </c>
      <c r="H77" s="57" t="s">
        <v>105</v>
      </c>
      <c r="I77" s="56">
        <f>VLOOKUP(gastoseventuales[[#This Row],[FECHA]],ventasdiarias[],3,FALSE)</f>
        <v>19.66</v>
      </c>
      <c r="J77" s="56">
        <v>407.2</v>
      </c>
      <c r="K77" s="56"/>
      <c r="L77" s="102">
        <f>(gastoseventuales[[#This Row],[BS]]/gastoseventuales[[#This Row],[TASA]])+gastoseventuales[[#This Row],[DOLARES]]</f>
        <v>20.712105798575788</v>
      </c>
    </row>
    <row r="78" spans="6:12" x14ac:dyDescent="0.25">
      <c r="F78" s="100" t="s">
        <v>116</v>
      </c>
      <c r="G78" s="57">
        <v>44942</v>
      </c>
      <c r="H78" s="57" t="s">
        <v>105</v>
      </c>
      <c r="I78" s="56">
        <f>VLOOKUP(gastoseventuales[[#This Row],[FECHA]],ventasdiarias[],3,FALSE)</f>
        <v>19.66</v>
      </c>
      <c r="J78" s="56">
        <v>318.64999999999998</v>
      </c>
      <c r="K78" s="56"/>
      <c r="L78" s="102">
        <f>(gastoseventuales[[#This Row],[BS]]/gastoseventuales[[#This Row],[TASA]])+gastoseventuales[[#This Row],[DOLARES]]</f>
        <v>16.208036622583926</v>
      </c>
    </row>
    <row r="79" spans="6:12" x14ac:dyDescent="0.25">
      <c r="F79" s="100" t="s">
        <v>116</v>
      </c>
      <c r="G79" s="57">
        <v>44942</v>
      </c>
      <c r="H79" s="57" t="s">
        <v>105</v>
      </c>
      <c r="I79" s="56">
        <f>VLOOKUP(gastoseventuales[[#This Row],[FECHA]],ventasdiarias[],3,FALSE)</f>
        <v>19.66</v>
      </c>
      <c r="J79" s="56">
        <v>5.43</v>
      </c>
      <c r="K79" s="56"/>
      <c r="L79" s="102">
        <f>(gastoseventuales[[#This Row],[BS]]/gastoseventuales[[#This Row],[TASA]])+gastoseventuales[[#This Row],[DOLARES]]</f>
        <v>0.27619532044760936</v>
      </c>
    </row>
    <row r="80" spans="6:12" x14ac:dyDescent="0.25">
      <c r="F80" s="100" t="s">
        <v>118</v>
      </c>
      <c r="G80" s="57">
        <v>44939</v>
      </c>
      <c r="H80" s="57" t="s">
        <v>105</v>
      </c>
      <c r="I80" s="56">
        <f>VLOOKUP(gastoseventuales[[#This Row],[FECHA]],ventasdiarias[],3,FALSE)</f>
        <v>19.28</v>
      </c>
      <c r="J80" s="56">
        <v>106.82</v>
      </c>
      <c r="K80" s="56">
        <v>40</v>
      </c>
      <c r="L80" s="102">
        <f>(gastoseventuales[[#This Row],[BS]]/gastoseventuales[[#This Row],[TASA]])+gastoseventuales[[#This Row],[DOLARES]]</f>
        <v>45.540456431535269</v>
      </c>
    </row>
    <row r="81" spans="6:12" x14ac:dyDescent="0.25">
      <c r="F81" s="100" t="s">
        <v>107</v>
      </c>
      <c r="G81" s="57">
        <v>44936</v>
      </c>
      <c r="H81" s="57" t="s">
        <v>105</v>
      </c>
      <c r="I81" s="56">
        <f>VLOOKUP(gastoseventuales[[#This Row],[FECHA]],ventasdiarias[],3,FALSE)</f>
        <v>18.61</v>
      </c>
      <c r="J81" s="56"/>
      <c r="K81" s="56">
        <v>5</v>
      </c>
      <c r="L81" s="102">
        <f>(gastoseventuales[[#This Row],[BS]]/gastoseventuales[[#This Row],[TASA]])+gastoseventuales[[#This Row],[DOLARES]]</f>
        <v>5</v>
      </c>
    </row>
    <row r="82" spans="6:12" x14ac:dyDescent="0.25">
      <c r="F82" s="100" t="s">
        <v>106</v>
      </c>
      <c r="G82" s="57">
        <v>44931</v>
      </c>
      <c r="H82" s="57" t="s">
        <v>204</v>
      </c>
      <c r="I82" s="56">
        <v>18</v>
      </c>
      <c r="J82" s="56">
        <v>212.98</v>
      </c>
      <c r="K82" s="56"/>
      <c r="L82" s="102">
        <f>(gastoseventuales[[#This Row],[BS]]/gastoseventuales[[#This Row],[TASA]])+gastoseventuales[[#This Row],[DOLARES]]</f>
        <v>11.832222222222221</v>
      </c>
    </row>
    <row r="83" spans="6:12" x14ac:dyDescent="0.25">
      <c r="F83" s="100" t="s">
        <v>109</v>
      </c>
      <c r="G83" s="57">
        <v>44930</v>
      </c>
      <c r="H83" s="57" t="s">
        <v>108</v>
      </c>
      <c r="I83" s="56">
        <v>18</v>
      </c>
      <c r="J83" s="56">
        <v>198</v>
      </c>
      <c r="K83" s="56"/>
      <c r="L83" s="102">
        <f>(gastoseventuales[[#This Row],[BS]]/gastoseventuales[[#This Row],[TASA]])+gastoseventuales[[#This Row],[DOLARES]]</f>
        <v>11</v>
      </c>
    </row>
    <row r="84" spans="6:12" x14ac:dyDescent="0.25">
      <c r="F84" s="100" t="s">
        <v>93</v>
      </c>
      <c r="G84" s="57">
        <v>44926</v>
      </c>
      <c r="H84" s="57" t="s">
        <v>99</v>
      </c>
      <c r="I84" s="56">
        <f>VLOOKUP(gastoseventuales[[#This Row],[FECHA]],ventasdiarias[],3,FALSE)</f>
        <v>17.489999999999998</v>
      </c>
      <c r="J84" s="56"/>
      <c r="K84" s="56"/>
      <c r="L84" s="102">
        <f>(gastoseventuales[[#This Row],[BS]]/gastoseventuales[[#This Row],[TASA]])+gastoseventuales[[#This Row],[DOLARES]]</f>
        <v>0</v>
      </c>
    </row>
    <row r="85" spans="6:12" x14ac:dyDescent="0.25">
      <c r="F85" s="100" t="s">
        <v>16</v>
      </c>
      <c r="G85" s="57">
        <v>44925</v>
      </c>
      <c r="H85" s="57" t="s">
        <v>99</v>
      </c>
      <c r="I85" s="56">
        <f>VLOOKUP(gastoseventuales[[#This Row],[FECHA]],ventasdiarias[],3,FALSE)</f>
        <v>17.28</v>
      </c>
      <c r="J85" s="56"/>
      <c r="K85" s="56"/>
      <c r="L85" s="102">
        <f>(gastoseventuales[[#This Row],[BS]]/gastoseventuales[[#This Row],[TASA]])+gastoseventuales[[#This Row],[DOLARES]]</f>
        <v>0</v>
      </c>
    </row>
    <row r="86" spans="6:12" x14ac:dyDescent="0.25">
      <c r="F86" s="100" t="s">
        <v>100</v>
      </c>
      <c r="G86" s="57">
        <v>44925</v>
      </c>
      <c r="H86" s="57" t="s">
        <v>99</v>
      </c>
      <c r="I86" s="56">
        <f>VLOOKUP(gastoseventuales[[#This Row],[FECHA]],ventasdiarias[],3,FALSE)</f>
        <v>17.28</v>
      </c>
      <c r="J86" s="56"/>
      <c r="K86" s="56"/>
      <c r="L86" s="102">
        <f>(gastoseventuales[[#This Row],[BS]]/gastoseventuales[[#This Row],[TASA]])+gastoseventuales[[#This Row],[DOLARES]]</f>
        <v>0</v>
      </c>
    </row>
    <row r="87" spans="6:12" x14ac:dyDescent="0.25">
      <c r="F87" s="100" t="s">
        <v>101</v>
      </c>
      <c r="G87" s="57">
        <v>44925</v>
      </c>
      <c r="H87" s="57" t="s">
        <v>99</v>
      </c>
      <c r="I87" s="56">
        <f>VLOOKUP(gastoseventuales[[#This Row],[FECHA]],ventasdiarias[],3,FALSE)</f>
        <v>17.28</v>
      </c>
      <c r="J87" s="56"/>
      <c r="K87" s="56"/>
      <c r="L87" s="102">
        <f>(gastoseventuales[[#This Row],[BS]]/gastoseventuales[[#This Row],[TASA]])+gastoseventuales[[#This Row],[DOLARES]]</f>
        <v>0</v>
      </c>
    </row>
    <row r="88" spans="6:12" x14ac:dyDescent="0.25">
      <c r="F88" s="100" t="s">
        <v>102</v>
      </c>
      <c r="G88" s="57">
        <v>44925</v>
      </c>
      <c r="H88" s="57" t="s">
        <v>99</v>
      </c>
      <c r="I88" s="56">
        <f>VLOOKUP(gastoseventuales[[#This Row],[FECHA]],ventasdiarias[],3,FALSE)</f>
        <v>17.28</v>
      </c>
      <c r="J88" s="56"/>
      <c r="K88" s="56"/>
      <c r="L88" s="102">
        <f>(gastoseventuales[[#This Row],[BS]]/gastoseventuales[[#This Row],[TASA]])+gastoseventuales[[#This Row],[DOLARES]]</f>
        <v>0</v>
      </c>
    </row>
    <row r="89" spans="6:12" x14ac:dyDescent="0.25">
      <c r="F89" s="100" t="s">
        <v>67</v>
      </c>
      <c r="G89" s="57">
        <v>44925</v>
      </c>
      <c r="H89" s="57" t="s">
        <v>99</v>
      </c>
      <c r="I89" s="56">
        <f>VLOOKUP(gastoseventuales[[#This Row],[FECHA]],ventasdiarias[],3,FALSE)</f>
        <v>17.28</v>
      </c>
      <c r="J89" s="56"/>
      <c r="K89" s="56"/>
      <c r="L89" s="102">
        <f>(gastoseventuales[[#This Row],[BS]]/gastoseventuales[[#This Row],[TASA]])+gastoseventuales[[#This Row],[DOLARES]]</f>
        <v>0</v>
      </c>
    </row>
    <row r="90" spans="6:12" x14ac:dyDescent="0.25">
      <c r="F90" s="100" t="s">
        <v>68</v>
      </c>
      <c r="G90" s="57">
        <v>44925</v>
      </c>
      <c r="H90" s="57" t="s">
        <v>99</v>
      </c>
      <c r="I90" s="56">
        <f>VLOOKUP(gastoseventuales[[#This Row],[FECHA]],ventasdiarias[],3,FALSE)</f>
        <v>17.28</v>
      </c>
      <c r="J90" s="56"/>
      <c r="K90" s="56"/>
      <c r="L90" s="102">
        <f>(gastoseventuales[[#This Row],[BS]]/gastoseventuales[[#This Row],[TASA]])+gastoseventuales[[#This Row],[DOLARES]]</f>
        <v>0</v>
      </c>
    </row>
    <row r="91" spans="6:12" x14ac:dyDescent="0.25">
      <c r="F91" s="100" t="s">
        <v>48</v>
      </c>
      <c r="G91" s="57">
        <v>44925</v>
      </c>
      <c r="H91" s="57" t="s">
        <v>99</v>
      </c>
      <c r="I91" s="56">
        <f>VLOOKUP(gastoseventuales[[#This Row],[FECHA]],ventasdiarias[],3,FALSE)</f>
        <v>17.28</v>
      </c>
      <c r="J91" s="56"/>
      <c r="K91" s="56"/>
      <c r="L91" s="102">
        <f>(gastoseventuales[[#This Row],[BS]]/gastoseventuales[[#This Row],[TASA]])+gastoseventuales[[#This Row],[DOLARES]]</f>
        <v>0</v>
      </c>
    </row>
    <row r="92" spans="6:12" x14ac:dyDescent="0.25">
      <c r="F92" s="100" t="s">
        <v>89</v>
      </c>
      <c r="G92" s="57">
        <v>44925</v>
      </c>
      <c r="H92" s="57" t="s">
        <v>204</v>
      </c>
      <c r="I92" s="56">
        <f>VLOOKUP(gastoseventuales[[#This Row],[FECHA]],ventasdiarias[],3,FALSE)</f>
        <v>17.28</v>
      </c>
      <c r="J92" s="56"/>
      <c r="K92" s="56"/>
      <c r="L92" s="102">
        <f>(gastoseventuales[[#This Row],[BS]]/gastoseventuales[[#This Row],[TASA]])+gastoseventuales[[#This Row],[DOLARES]]</f>
        <v>0</v>
      </c>
    </row>
    <row r="93" spans="6:12" x14ac:dyDescent="0.25">
      <c r="F93" s="100" t="s">
        <v>89</v>
      </c>
      <c r="G93" s="57">
        <v>44925</v>
      </c>
      <c r="H93" s="57" t="s">
        <v>204</v>
      </c>
      <c r="I93" s="56">
        <f>VLOOKUP(gastoseventuales[[#This Row],[FECHA]],ventasdiarias[],3,FALSE)</f>
        <v>17.28</v>
      </c>
      <c r="J93" s="56"/>
      <c r="K93" s="56"/>
      <c r="L93" s="102">
        <f>(gastoseventuales[[#This Row],[BS]]/gastoseventuales[[#This Row],[TASA]])+gastoseventuales[[#This Row],[DOLARES]]</f>
        <v>0</v>
      </c>
    </row>
    <row r="94" spans="6:12" x14ac:dyDescent="0.25">
      <c r="F94" s="100" t="s">
        <v>90</v>
      </c>
      <c r="G94" s="57">
        <v>44925</v>
      </c>
      <c r="H94" s="57" t="s">
        <v>204</v>
      </c>
      <c r="I94" s="56">
        <f>VLOOKUP(gastoseventuales[[#This Row],[FECHA]],ventasdiarias[],3,FALSE)</f>
        <v>17.28</v>
      </c>
      <c r="J94" s="56"/>
      <c r="K94" s="56"/>
      <c r="L94" s="102">
        <f>(gastoseventuales[[#This Row],[BS]]/gastoseventuales[[#This Row],[TASA]])+gastoseventuales[[#This Row],[DOLARES]]</f>
        <v>0</v>
      </c>
    </row>
    <row r="95" spans="6:12" x14ac:dyDescent="0.25">
      <c r="F95" s="100" t="s">
        <v>84</v>
      </c>
      <c r="G95" s="57">
        <v>44924</v>
      </c>
      <c r="H95" s="57" t="s">
        <v>204</v>
      </c>
      <c r="I95" s="56">
        <f>VLOOKUP(gastoseventuales[[#This Row],[FECHA]],ventasdiarias[],3,FALSE)</f>
        <v>17.11</v>
      </c>
      <c r="J95" s="57"/>
      <c r="K95" s="57"/>
      <c r="L95" s="102">
        <f>(gastoseventuales[[#This Row],[BS]]/gastoseventuales[[#This Row],[TASA]])+gastoseventuales[[#This Row],[DOLARES]]</f>
        <v>0</v>
      </c>
    </row>
    <row r="96" spans="6:12" x14ac:dyDescent="0.25">
      <c r="F96" s="100" t="s">
        <v>85</v>
      </c>
      <c r="G96" s="57">
        <v>44924</v>
      </c>
      <c r="H96" s="57" t="s">
        <v>204</v>
      </c>
      <c r="I96" s="56">
        <f>VLOOKUP(gastoseventuales[[#This Row],[FECHA]],ventasdiarias[],3,FALSE)</f>
        <v>17.11</v>
      </c>
      <c r="J96" s="57"/>
      <c r="K96" s="57"/>
      <c r="L96" s="102">
        <f>(gastoseventuales[[#This Row],[BS]]/gastoseventuales[[#This Row],[TASA]])+gastoseventuales[[#This Row],[DOLARES]]</f>
        <v>0</v>
      </c>
    </row>
    <row r="97" spans="6:12" x14ac:dyDescent="0.25">
      <c r="F97" s="100" t="s">
        <v>86</v>
      </c>
      <c r="G97" s="57">
        <v>44924</v>
      </c>
      <c r="H97" s="57" t="s">
        <v>204</v>
      </c>
      <c r="I97" s="56">
        <f>VLOOKUP(gastoseventuales[[#This Row],[FECHA]],ventasdiarias[],3,FALSE)</f>
        <v>17.11</v>
      </c>
      <c r="J97" s="57"/>
      <c r="K97" s="57"/>
      <c r="L97" s="102">
        <f>(gastoseventuales[[#This Row],[BS]]/gastoseventuales[[#This Row],[TASA]])+gastoseventuales[[#This Row],[DOLARES]]</f>
        <v>0</v>
      </c>
    </row>
    <row r="98" spans="6:12" x14ac:dyDescent="0.25">
      <c r="F98" s="100" t="s">
        <v>72</v>
      </c>
      <c r="G98" s="57">
        <v>44924</v>
      </c>
      <c r="H98" s="57" t="s">
        <v>204</v>
      </c>
      <c r="I98" s="56">
        <f>VLOOKUP(gastoseventuales[[#This Row],[FECHA]],ventasdiarias[],3,FALSE)</f>
        <v>17.11</v>
      </c>
      <c r="J98" s="57"/>
      <c r="K98" s="57"/>
      <c r="L98" s="102">
        <f>(gastoseventuales[[#This Row],[BS]]/gastoseventuales[[#This Row],[TASA]])+gastoseventuales[[#This Row],[DOLARES]]</f>
        <v>0</v>
      </c>
    </row>
    <row r="99" spans="6:12" x14ac:dyDescent="0.25">
      <c r="F99" s="100" t="s">
        <v>87</v>
      </c>
      <c r="G99" s="57">
        <v>44924</v>
      </c>
      <c r="H99" s="57" t="s">
        <v>204</v>
      </c>
      <c r="I99" s="56">
        <f>VLOOKUP(gastoseventuales[[#This Row],[FECHA]],ventasdiarias[],3,FALSE)</f>
        <v>17.11</v>
      </c>
      <c r="J99" s="56"/>
      <c r="K99" s="56"/>
      <c r="L99" s="102">
        <f>(gastoseventuales[[#This Row],[BS]]/gastoseventuales[[#This Row],[TASA]])+gastoseventuales[[#This Row],[DOLARES]]</f>
        <v>0</v>
      </c>
    </row>
    <row r="100" spans="6:12" x14ac:dyDescent="0.25">
      <c r="F100" s="103" t="s">
        <v>88</v>
      </c>
      <c r="G100" s="13">
        <v>44924</v>
      </c>
      <c r="H100" s="13" t="s">
        <v>204</v>
      </c>
      <c r="I100" s="56">
        <f>VLOOKUP(gastoseventuales[[#This Row],[FECHA]],ventasdiarias[],3,FALSE)</f>
        <v>17.11</v>
      </c>
      <c r="J100" s="12"/>
      <c r="K100" s="12"/>
      <c r="L100" s="102">
        <f>(gastoseventuales[[#This Row],[BS]]/gastoseventuales[[#This Row],[TASA]])+gastoseventuales[[#This Row],[DOLARES]]</f>
        <v>0</v>
      </c>
    </row>
    <row r="101" spans="6:12" x14ac:dyDescent="0.25">
      <c r="F101" s="103" t="s">
        <v>81</v>
      </c>
      <c r="G101" s="13">
        <v>44922</v>
      </c>
      <c r="H101" s="13" t="s">
        <v>204</v>
      </c>
      <c r="I101" s="56">
        <f>VLOOKUP(gastoseventuales[[#This Row],[FECHA]],ventasdiarias[],3,FALSE)</f>
        <v>16.57</v>
      </c>
      <c r="J101" s="13"/>
      <c r="K101" s="13"/>
      <c r="L101" s="102">
        <f>(gastoseventuales[[#This Row],[BS]]/gastoseventuales[[#This Row],[TASA]])+gastoseventuales[[#This Row],[DOLARES]]</f>
        <v>0</v>
      </c>
    </row>
    <row r="102" spans="6:12" x14ac:dyDescent="0.25">
      <c r="F102" s="103" t="s">
        <v>82</v>
      </c>
      <c r="G102" s="13">
        <v>44922</v>
      </c>
      <c r="H102" s="13" t="s">
        <v>204</v>
      </c>
      <c r="I102" s="56">
        <f>VLOOKUP(gastoseventuales[[#This Row],[FECHA]],ventasdiarias[],3,FALSE)</f>
        <v>16.57</v>
      </c>
      <c r="J102" s="13"/>
      <c r="K102" s="13"/>
      <c r="L102" s="102">
        <f>(gastoseventuales[[#This Row],[BS]]/gastoseventuales[[#This Row],[TASA]])+gastoseventuales[[#This Row],[DOLARES]]</f>
        <v>0</v>
      </c>
    </row>
    <row r="103" spans="6:12" x14ac:dyDescent="0.25">
      <c r="F103" s="103" t="s">
        <v>83</v>
      </c>
      <c r="G103" s="13">
        <v>44922</v>
      </c>
      <c r="H103" s="13" t="s">
        <v>204</v>
      </c>
      <c r="I103" s="56">
        <f>VLOOKUP(gastoseventuales[[#This Row],[FECHA]],ventasdiarias[],3,FALSE)</f>
        <v>16.57</v>
      </c>
      <c r="J103" s="13"/>
      <c r="K103" s="13"/>
      <c r="L103" s="102">
        <f>(gastoseventuales[[#This Row],[BS]]/gastoseventuales[[#This Row],[TASA]])+gastoseventuales[[#This Row],[DOLARES]]</f>
        <v>0</v>
      </c>
    </row>
    <row r="104" spans="6:12" x14ac:dyDescent="0.25">
      <c r="F104" s="103" t="s">
        <v>77</v>
      </c>
      <c r="G104" s="13">
        <v>44919</v>
      </c>
      <c r="H104" s="13" t="s">
        <v>204</v>
      </c>
      <c r="I104" s="56">
        <f>VLOOKUP(gastoseventuales[[#This Row],[FECHA]],ventasdiarias[],3,FALSE)</f>
        <v>16.45</v>
      </c>
      <c r="J104" s="13"/>
      <c r="K104" s="13"/>
      <c r="L104" s="102">
        <f>(gastoseventuales[[#This Row],[BS]]/gastoseventuales[[#This Row],[TASA]])+gastoseventuales[[#This Row],[DOLARES]]</f>
        <v>0</v>
      </c>
    </row>
    <row r="105" spans="6:12" x14ac:dyDescent="0.25">
      <c r="F105" s="103" t="s">
        <v>78</v>
      </c>
      <c r="G105" s="13">
        <v>44919</v>
      </c>
      <c r="H105" s="13" t="s">
        <v>204</v>
      </c>
      <c r="I105" s="56">
        <f>VLOOKUP(gastoseventuales[[#This Row],[FECHA]],ventasdiarias[],3,FALSE)</f>
        <v>16.45</v>
      </c>
      <c r="J105" s="13"/>
      <c r="K105" s="13"/>
      <c r="L105" s="102">
        <f>(gastoseventuales[[#This Row],[BS]]/gastoseventuales[[#This Row],[TASA]])+gastoseventuales[[#This Row],[DOLARES]]</f>
        <v>0</v>
      </c>
    </row>
    <row r="106" spans="6:12" x14ac:dyDescent="0.25">
      <c r="F106" s="103" t="s">
        <v>79</v>
      </c>
      <c r="G106" s="13">
        <v>44919</v>
      </c>
      <c r="H106" s="13" t="s">
        <v>204</v>
      </c>
      <c r="I106" s="56">
        <f>VLOOKUP(gastoseventuales[[#This Row],[FECHA]],ventasdiarias[],3,FALSE)</f>
        <v>16.45</v>
      </c>
      <c r="J106" s="13"/>
      <c r="K106" s="13"/>
      <c r="L106" s="102">
        <f>(gastoseventuales[[#This Row],[BS]]/gastoseventuales[[#This Row],[TASA]])+gastoseventuales[[#This Row],[DOLARES]]</f>
        <v>0</v>
      </c>
    </row>
    <row r="107" spans="6:12" x14ac:dyDescent="0.25">
      <c r="F107" s="103" t="s">
        <v>80</v>
      </c>
      <c r="G107" s="13">
        <v>44919</v>
      </c>
      <c r="H107" s="13" t="s">
        <v>204</v>
      </c>
      <c r="I107" s="56">
        <f>VLOOKUP(gastoseventuales[[#This Row],[FECHA]],ventasdiarias[],3,FALSE)</f>
        <v>16.45</v>
      </c>
      <c r="J107" s="13"/>
      <c r="K107" s="13"/>
      <c r="L107" s="102">
        <f>(gastoseventuales[[#This Row],[BS]]/gastoseventuales[[#This Row],[TASA]])+gastoseventuales[[#This Row],[DOLARES]]</f>
        <v>0</v>
      </c>
    </row>
    <row r="108" spans="6:12" x14ac:dyDescent="0.25">
      <c r="F108" s="103" t="s">
        <v>92</v>
      </c>
      <c r="G108" s="13">
        <v>44919</v>
      </c>
      <c r="H108" s="13" t="s">
        <v>105</v>
      </c>
      <c r="I108" s="56">
        <f>VLOOKUP(gastoseventuales[[#This Row],[FECHA]],ventasdiarias[],3,FALSE)</f>
        <v>16.45</v>
      </c>
      <c r="J108" s="12"/>
      <c r="K108" s="12"/>
      <c r="L108" s="102">
        <f>(gastoseventuales[[#This Row],[BS]]/gastoseventuales[[#This Row],[TASA]])+gastoseventuales[[#This Row],[DOLARES]]</f>
        <v>0</v>
      </c>
    </row>
    <row r="109" spans="6:12" x14ac:dyDescent="0.25">
      <c r="F109" s="103" t="s">
        <v>70</v>
      </c>
      <c r="G109" s="13">
        <v>44917</v>
      </c>
      <c r="H109" s="13" t="s">
        <v>204</v>
      </c>
      <c r="I109" s="56">
        <f>VLOOKUP(gastoseventuales[[#This Row],[FECHA]],ventasdiarias[],3,FALSE)</f>
        <v>16.18</v>
      </c>
      <c r="J109" s="13"/>
      <c r="K109" s="13"/>
      <c r="L109" s="102">
        <f>(gastoseventuales[[#This Row],[BS]]/gastoseventuales[[#This Row],[TASA]])+gastoseventuales[[#This Row],[DOLARES]]</f>
        <v>0</v>
      </c>
    </row>
    <row r="110" spans="6:12" x14ac:dyDescent="0.25">
      <c r="F110" s="103" t="s">
        <v>71</v>
      </c>
      <c r="G110" s="13">
        <v>44917</v>
      </c>
      <c r="H110" s="13" t="s">
        <v>204</v>
      </c>
      <c r="I110" s="56">
        <f>VLOOKUP(gastoseventuales[[#This Row],[FECHA]],ventasdiarias[],3,FALSE)</f>
        <v>16.18</v>
      </c>
      <c r="J110" s="13"/>
      <c r="K110" s="13"/>
      <c r="L110" s="102">
        <f>(gastoseventuales[[#This Row],[BS]]/gastoseventuales[[#This Row],[TASA]])+gastoseventuales[[#This Row],[DOLARES]]</f>
        <v>0</v>
      </c>
    </row>
    <row r="111" spans="6:12" x14ac:dyDescent="0.25">
      <c r="F111" s="103" t="s">
        <v>72</v>
      </c>
      <c r="G111" s="13">
        <v>44917</v>
      </c>
      <c r="H111" s="13" t="s">
        <v>204</v>
      </c>
      <c r="I111" s="56">
        <f>VLOOKUP(gastoseventuales[[#This Row],[FECHA]],ventasdiarias[],3,FALSE)</f>
        <v>16.18</v>
      </c>
      <c r="J111" s="13"/>
      <c r="K111" s="13"/>
      <c r="L111" s="102">
        <f>(gastoseventuales[[#This Row],[BS]]/gastoseventuales[[#This Row],[TASA]])+gastoseventuales[[#This Row],[DOLARES]]</f>
        <v>0</v>
      </c>
    </row>
    <row r="112" spans="6:12" x14ac:dyDescent="0.25">
      <c r="F112" s="103" t="s">
        <v>73</v>
      </c>
      <c r="G112" s="13">
        <v>44917</v>
      </c>
      <c r="H112" s="13" t="s">
        <v>204</v>
      </c>
      <c r="I112" s="56">
        <f>VLOOKUP(gastoseventuales[[#This Row],[FECHA]],ventasdiarias[],3,FALSE)</f>
        <v>16.18</v>
      </c>
      <c r="J112" s="13"/>
      <c r="K112" s="13"/>
      <c r="L112" s="102">
        <f>(gastoseventuales[[#This Row],[BS]]/gastoseventuales[[#This Row],[TASA]])+gastoseventuales[[#This Row],[DOLARES]]</f>
        <v>0</v>
      </c>
    </row>
    <row r="113" spans="6:12" x14ac:dyDescent="0.25">
      <c r="F113" s="103" t="s">
        <v>74</v>
      </c>
      <c r="G113" s="13">
        <v>44917</v>
      </c>
      <c r="H113" s="13" t="s">
        <v>204</v>
      </c>
      <c r="I113" s="56">
        <f>VLOOKUP(gastoseventuales[[#This Row],[FECHA]],ventasdiarias[],3,FALSE)</f>
        <v>16.18</v>
      </c>
      <c r="J113" s="13"/>
      <c r="K113" s="13"/>
      <c r="L113" s="102">
        <f>(gastoseventuales[[#This Row],[BS]]/gastoseventuales[[#This Row],[TASA]])+gastoseventuales[[#This Row],[DOLARES]]</f>
        <v>0</v>
      </c>
    </row>
    <row r="114" spans="6:12" x14ac:dyDescent="0.25">
      <c r="F114" s="103" t="s">
        <v>75</v>
      </c>
      <c r="G114" s="13">
        <v>44917</v>
      </c>
      <c r="H114" s="13" t="s">
        <v>204</v>
      </c>
      <c r="I114" s="56">
        <f>VLOOKUP(gastoseventuales[[#This Row],[FECHA]],ventasdiarias[],3,FALSE)</f>
        <v>16.18</v>
      </c>
      <c r="J114" s="13"/>
      <c r="K114" s="13"/>
      <c r="L114" s="102">
        <f>(gastoseventuales[[#This Row],[BS]]/gastoseventuales[[#This Row],[TASA]])+gastoseventuales[[#This Row],[DOLARES]]</f>
        <v>0</v>
      </c>
    </row>
    <row r="115" spans="6:12" x14ac:dyDescent="0.25">
      <c r="F115" s="103" t="s">
        <v>76</v>
      </c>
      <c r="G115" s="13">
        <v>44917</v>
      </c>
      <c r="H115" s="13" t="s">
        <v>204</v>
      </c>
      <c r="I115" s="56">
        <f>VLOOKUP(gastoseventuales[[#This Row],[FECHA]],ventasdiarias[],3,FALSE)</f>
        <v>16.18</v>
      </c>
      <c r="J115" s="13"/>
      <c r="K115" s="13"/>
      <c r="L115" s="102">
        <f>(gastoseventuales[[#This Row],[BS]]/gastoseventuales[[#This Row],[TASA]])+gastoseventuales[[#This Row],[DOLARES]]</f>
        <v>0</v>
      </c>
    </row>
    <row r="116" spans="6:12" x14ac:dyDescent="0.25">
      <c r="F116" s="103" t="s">
        <v>95</v>
      </c>
      <c r="G116" s="13">
        <v>44915</v>
      </c>
      <c r="H116" s="13" t="s">
        <v>99</v>
      </c>
      <c r="I116" s="56">
        <f>VLOOKUP(gastoseventuales[[#This Row],[FECHA]],ventasdiarias[],3,FALSE)</f>
        <v>16</v>
      </c>
      <c r="J116" s="12"/>
      <c r="K116" s="12">
        <v>400</v>
      </c>
      <c r="L116" s="102">
        <f>(gastoseventuales[[#This Row],[BS]]/gastoseventuales[[#This Row],[TASA]])+gastoseventuales[[#This Row],[DOLARES]]</f>
        <v>400</v>
      </c>
    </row>
    <row r="117" spans="6:12" x14ac:dyDescent="0.25">
      <c r="F117" s="103" t="s">
        <v>69</v>
      </c>
      <c r="G117" s="13">
        <v>44910</v>
      </c>
      <c r="H117" s="13" t="s">
        <v>99</v>
      </c>
      <c r="I117" s="56">
        <f>VLOOKUP(gastoseventuales[[#This Row],[FECHA]],ventasdiarias[],3,FALSE)</f>
        <v>15.24</v>
      </c>
      <c r="J117" s="12"/>
      <c r="K117" s="12"/>
      <c r="L117" s="102">
        <f>(gastoseventuales[[#This Row],[BS]]/gastoseventuales[[#This Row],[TASA]])+gastoseventuales[[#This Row],[DOLARES]]</f>
        <v>0</v>
      </c>
    </row>
    <row r="118" spans="6:12" x14ac:dyDescent="0.25">
      <c r="F118" s="103" t="s">
        <v>47</v>
      </c>
      <c r="G118" s="13">
        <v>44910</v>
      </c>
      <c r="H118" s="13" t="s">
        <v>99</v>
      </c>
      <c r="I118" s="56">
        <f>VLOOKUP(gastoseventuales[[#This Row],[FECHA]],ventasdiarias[],3,FALSE)</f>
        <v>15.24</v>
      </c>
      <c r="J118" s="12"/>
      <c r="K118" s="12"/>
      <c r="L118" s="102">
        <f>(gastoseventuales[[#This Row],[BS]]/gastoseventuales[[#This Row],[TASA]])+gastoseventuales[[#This Row],[DOLARES]]</f>
        <v>0</v>
      </c>
    </row>
    <row r="119" spans="6:12" x14ac:dyDescent="0.25">
      <c r="F119" s="103" t="s">
        <v>66</v>
      </c>
      <c r="G119" s="13">
        <v>44910</v>
      </c>
      <c r="H119" s="13" t="s">
        <v>99</v>
      </c>
      <c r="I119" s="56">
        <f>VLOOKUP(gastoseventuales[[#This Row],[FECHA]],ventasdiarias[],3,FALSE)</f>
        <v>15.24</v>
      </c>
      <c r="J119" s="12"/>
      <c r="K119" s="12"/>
      <c r="L119" s="102">
        <f>(gastoseventuales[[#This Row],[BS]]/gastoseventuales[[#This Row],[TASA]])+gastoseventuales[[#This Row],[DOLARES]]</f>
        <v>0</v>
      </c>
    </row>
    <row r="120" spans="6:12" x14ac:dyDescent="0.25">
      <c r="F120" s="103" t="s">
        <v>17</v>
      </c>
      <c r="G120" s="13">
        <v>44905</v>
      </c>
      <c r="H120" s="13" t="s">
        <v>99</v>
      </c>
      <c r="I120" s="56">
        <f>VLOOKUP(gastoseventuales[[#This Row],[FECHA]],ventasdiarias[],3,FALSE)</f>
        <v>13.6</v>
      </c>
      <c r="J120" s="12">
        <v>219.04</v>
      </c>
      <c r="K120" s="12"/>
      <c r="L120" s="102">
        <f>(gastoseventuales[[#This Row],[BS]]/gastoseventuales[[#This Row],[TASA]])+gastoseventuales[[#This Row],[DOLARES]]</f>
        <v>16.105882352941176</v>
      </c>
    </row>
    <row r="121" spans="6:12" x14ac:dyDescent="0.25">
      <c r="F121" s="103" t="s">
        <v>91</v>
      </c>
      <c r="G121" s="13">
        <v>44905</v>
      </c>
      <c r="H121" s="13" t="s">
        <v>99</v>
      </c>
      <c r="I121" s="56">
        <f>VLOOKUP(gastoseventuales[[#This Row],[FECHA]],ventasdiarias[],3,FALSE)</f>
        <v>13.6</v>
      </c>
      <c r="J121" s="12"/>
      <c r="K121" s="12"/>
      <c r="L121" s="102">
        <f>(gastoseventuales[[#This Row],[BS]]/gastoseventuales[[#This Row],[TASA]])+gastoseventuales[[#This Row],[DOLARES]]</f>
        <v>0</v>
      </c>
    </row>
  </sheetData>
  <phoneticPr fontId="2" type="noConversion"/>
  <conditionalFormatting sqref="C8:C24">
    <cfRule type="containsText" dxfId="66" priority="13" operator="containsText" text="EN DEUDA">
      <formula>NOT(ISERROR(SEARCH("EN DEUDA",C8)))</formula>
    </cfRule>
    <cfRule type="containsText" dxfId="65" priority="14" operator="containsText" text="PAGADO">
      <formula>NOT(ISERROR(SEARCH("PAGADO",C8)))</formula>
    </cfRule>
  </conditionalFormatting>
  <conditionalFormatting sqref="H1:H1048576">
    <cfRule type="containsText" dxfId="64" priority="1" operator="containsText" text="RETIRADO">
      <formula>NOT(ISERROR(SEARCH("RETIRADO",H1)))</formula>
    </cfRule>
    <cfRule type="containsText" dxfId="63" priority="2" operator="containsText" text="FIJO">
      <formula>NOT(ISERROR(SEARCH("FIJO",H1)))</formula>
    </cfRule>
    <cfRule type="containsText" dxfId="62" priority="3" operator="containsText" text="EVENTUAL">
      <formula>NOT(ISERROR(SEARCH("EVENTUAL",H1)))</formula>
    </cfRule>
  </conditionalFormatting>
  <conditionalFormatting sqref="H14:H21 H23:H121">
    <cfRule type="containsText" dxfId="61" priority="7" operator="containsText" text="YHAMIL">
      <formula>NOT(ISERROR(SEARCH("YHAMIL",H14)))</formula>
    </cfRule>
    <cfRule type="containsText" dxfId="60" priority="8" operator="containsText" text="FIJO">
      <formula>NOT(ISERROR(SEARCH("FIJO",H14)))</formula>
    </cfRule>
    <cfRule type="containsText" dxfId="59" priority="9" operator="containsText" text="EVENTUAL">
      <formula>NOT(ISERROR(SEARCH("EVENTUAL",H14)))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6"/>
  </sheetPr>
  <dimension ref="A2:O42"/>
  <sheetViews>
    <sheetView showGridLines="0" zoomScaleNormal="100" workbookViewId="0">
      <selection activeCell="I27" sqref="I27"/>
    </sheetView>
  </sheetViews>
  <sheetFormatPr baseColWidth="10" defaultColWidth="11.44140625" defaultRowHeight="12" x14ac:dyDescent="0.25"/>
  <cols>
    <col min="1" max="1" width="13.77734375" style="17" customWidth="1"/>
    <col min="2" max="2" width="11" style="17" customWidth="1"/>
    <col min="3" max="3" width="21" style="17" customWidth="1"/>
    <col min="4" max="4" width="14.44140625" style="17" customWidth="1"/>
    <col min="5" max="5" width="10.6640625" style="17" customWidth="1"/>
    <col min="6" max="6" width="8.77734375" style="17" customWidth="1"/>
    <col min="7" max="7" width="9.21875" style="17" customWidth="1"/>
    <col min="8" max="8" width="6.77734375" style="17" customWidth="1"/>
    <col min="9" max="9" width="10.21875" style="17" customWidth="1"/>
    <col min="10" max="10" width="18.21875" style="17" customWidth="1"/>
    <col min="11" max="11" width="6.21875" style="17" customWidth="1"/>
    <col min="12" max="12" width="8.44140625" style="17" customWidth="1"/>
    <col min="13" max="13" width="8" style="17" customWidth="1"/>
    <col min="14" max="14" width="9.21875" style="17" customWidth="1"/>
    <col min="15" max="15" width="9" style="17" customWidth="1"/>
    <col min="16" max="16384" width="11.44140625" style="17"/>
  </cols>
  <sheetData>
    <row r="2" spans="1:15" x14ac:dyDescent="0.25">
      <c r="A2" s="37" t="s">
        <v>34</v>
      </c>
      <c r="B2" s="12">
        <f>SUMIFS(PAGOS[DEUDA],PAGOS[ESTADO],"EN DEUDA")-SUMIFS(PAGOS[CANCELADO],PAGOS[ESTADO],"EN DEUDA")</f>
        <v>4484.9300651200656</v>
      </c>
    </row>
    <row r="3" spans="1:15" x14ac:dyDescent="0.25">
      <c r="A3" s="43" t="s">
        <v>38</v>
      </c>
      <c r="B3" s="12">
        <f>SUMIFS(PAGOS[CANCELADO],PAGOS[ESTADO],"EXCEDIDO")-SUMIFS(PAGOS[DEUDA],PAGOS[ESTADO],"EXCEDIDO")</f>
        <v>0</v>
      </c>
      <c r="N3" s="86"/>
      <c r="O3" s="86"/>
    </row>
    <row r="4" spans="1:15" x14ac:dyDescent="0.25">
      <c r="A4" s="37" t="s">
        <v>56</v>
      </c>
      <c r="B4" s="14">
        <f>(Resumen!C9+Resumen!C10)-B5</f>
        <v>-194.90775845840017</v>
      </c>
    </row>
    <row r="5" spans="1:15" ht="14.4" x14ac:dyDescent="0.3">
      <c r="A5" s="37" t="s">
        <v>96</v>
      </c>
      <c r="B5" s="1">
        <f>SUMIFS(abonos[ABONO],abonos[FECHA],"&gt;="&amp;DATE(Resumen!C2,Resumen!B2,1),abonos[FECHA],"&lt;="&amp;EOMONTH(DATE(Resumen!C2,Resumen!B2,1),0))</f>
        <v>1554</v>
      </c>
    </row>
    <row r="7" spans="1:15" x14ac:dyDescent="0.25">
      <c r="A7" s="107" t="s">
        <v>32</v>
      </c>
      <c r="B7" s="108" t="s">
        <v>129</v>
      </c>
      <c r="C7" s="108" t="s">
        <v>31</v>
      </c>
      <c r="D7" s="109" t="s">
        <v>33</v>
      </c>
      <c r="E7" s="108" t="s">
        <v>55</v>
      </c>
      <c r="F7" s="108" t="s">
        <v>58</v>
      </c>
      <c r="G7" s="110" t="s">
        <v>146</v>
      </c>
      <c r="H7" s="34"/>
      <c r="I7" s="100" t="s">
        <v>54</v>
      </c>
      <c r="J7" s="56" t="s">
        <v>36</v>
      </c>
      <c r="K7" s="56" t="s">
        <v>1</v>
      </c>
      <c r="L7" s="56" t="s">
        <v>57</v>
      </c>
      <c r="M7" s="56" t="s">
        <v>39</v>
      </c>
      <c r="N7" s="56" t="s">
        <v>37</v>
      </c>
      <c r="O7" s="101" t="s">
        <v>35</v>
      </c>
    </row>
    <row r="8" spans="1:15" x14ac:dyDescent="0.25">
      <c r="A8" s="113">
        <v>159</v>
      </c>
      <c r="B8" s="115">
        <v>44972</v>
      </c>
      <c r="C8" s="116" t="s">
        <v>162</v>
      </c>
      <c r="D8" s="116" t="str">
        <f>_xlfn.IFS(AND(PAGOS[[#This Row],[Pendiente]]&lt;1,PAGOS[[#This Row],[Pendiente]]&gt;-1),"PAGADO",PAGOS[[#This Row],[Pendiente]]&gt;=1,"EN DEUDA")</f>
        <v>EN DEUDA</v>
      </c>
      <c r="E8" s="117">
        <v>3045.95</v>
      </c>
      <c r="F8" s="118">
        <f>SUMIFS(abonos[ABONO],abonos[REFERENCIA],PAGOS[[#This Row],[NRO FACTURA]])</f>
        <v>2000</v>
      </c>
      <c r="G8" s="119">
        <f>PAGOS[[#This Row],[DEUDA]]-PAGOS[[#This Row],[CANCELADO]]</f>
        <v>1045.9499999999998</v>
      </c>
      <c r="H8" s="35"/>
      <c r="I8" s="15">
        <v>16040</v>
      </c>
      <c r="J8" s="111" t="str">
        <f>VLOOKUP(abonos[[#This Row],[REFERENCIA]],PAGOS[],3,FALSE)</f>
        <v>inversiones gomas y bases</v>
      </c>
      <c r="K8" s="38">
        <f>abonos[[#This Row],[Bs]]/(VLOOKUP(abonos[[#This Row],[REFERENCIA]],PAGOS[],5,FALSE))</f>
        <v>0</v>
      </c>
      <c r="L8" s="32"/>
      <c r="M8" s="32">
        <v>100</v>
      </c>
      <c r="N8" s="33">
        <f>abonos[[#This Row],[DOLARES]]+(IF(K8&gt;0,abonos[[#This Row],[Bs]]/abonos[[#This Row],[Tasa]],"0"))</f>
        <v>100</v>
      </c>
      <c r="O8" s="39">
        <v>45065</v>
      </c>
    </row>
    <row r="9" spans="1:15" x14ac:dyDescent="0.25">
      <c r="A9" s="113">
        <v>9859</v>
      </c>
      <c r="B9" s="115">
        <v>44980</v>
      </c>
      <c r="C9" s="116" t="s">
        <v>132</v>
      </c>
      <c r="D9" s="116" t="str">
        <f>_xlfn.IFS(AND(PAGOS[[#This Row],[Pendiente]]&lt;1,PAGOS[[#This Row],[Pendiente]]&gt;-1),"PAGADO",PAGOS[[#This Row],[Pendiente]]&gt;=1,"EN DEUDA")</f>
        <v>EN DEUDA</v>
      </c>
      <c r="E9" s="117">
        <v>17.28</v>
      </c>
      <c r="F9" s="118">
        <f>SUMIFS(abonos[ABONO],abonos[REFERENCIA],PAGOS[[#This Row],[NRO FACTURA]])</f>
        <v>0</v>
      </c>
      <c r="G9" s="119">
        <f>PAGOS[[#This Row],[DEUDA]]-PAGOS[[#This Row],[CANCELADO]]</f>
        <v>17.28</v>
      </c>
      <c r="H9" s="35"/>
      <c r="I9" s="113">
        <v>3362</v>
      </c>
      <c r="J9" s="111" t="str">
        <f>VLOOKUP(abonos[[#This Row],[REFERENCIA]],PAGOS[],3,FALSE)</f>
        <v>soldven</v>
      </c>
      <c r="K9" s="38">
        <f>abonos[[#This Row],[Bs]]/(VLOOKUP(abonos[[#This Row],[REFERENCIA]],PAGOS[],5,FALSE))</f>
        <v>0</v>
      </c>
      <c r="L9" s="32"/>
      <c r="M9" s="32">
        <v>80</v>
      </c>
      <c r="N9" s="33">
        <f>abonos[[#This Row],[DOLARES]]+(IF(K9&gt;0,abonos[[#This Row],[Bs]]/abonos[[#This Row],[Tasa]],"0"))</f>
        <v>80</v>
      </c>
      <c r="O9" s="39">
        <v>45072</v>
      </c>
    </row>
    <row r="10" spans="1:15" x14ac:dyDescent="0.25">
      <c r="A10" s="113">
        <v>424</v>
      </c>
      <c r="B10" s="120">
        <v>45024</v>
      </c>
      <c r="C10" s="121" t="s">
        <v>162</v>
      </c>
      <c r="D10" s="121" t="str">
        <f>_xlfn.IFS(AND(PAGOS[[#This Row],[Pendiente]]&lt;1,PAGOS[[#This Row],[Pendiente]]&gt;-1),"PAGADO",PAGOS[[#This Row],[Pendiente]]&gt;=1,"EN DEUDA")</f>
        <v>EN DEUDA</v>
      </c>
      <c r="E10" s="122">
        <v>611.04</v>
      </c>
      <c r="F10" s="123">
        <f>SUMIFS(abonos[ABONO],abonos[REFERENCIA],PAGOS[[#This Row],[NRO FACTURA]])</f>
        <v>0</v>
      </c>
      <c r="G10" s="124">
        <f>PAGOS[[#This Row],[DEUDA]]-PAGOS[[#This Row],[CANCELADO]]</f>
        <v>611.04</v>
      </c>
      <c r="H10" s="35"/>
      <c r="I10" s="15">
        <v>3362</v>
      </c>
      <c r="J10" s="111" t="str">
        <f>VLOOKUP(abonos[[#This Row],[REFERENCIA]],PAGOS[],3,FALSE)</f>
        <v>soldven</v>
      </c>
      <c r="K10" s="38">
        <f>abonos[[#This Row],[Bs]]/(VLOOKUP(abonos[[#This Row],[REFERENCIA]],PAGOS[],5,FALSE))</f>
        <v>0</v>
      </c>
      <c r="L10" s="32"/>
      <c r="M10" s="32">
        <v>40</v>
      </c>
      <c r="N10" s="33">
        <f>abonos[[#This Row],[DOLARES]]+(IF(K10&gt;0,abonos[[#This Row],[Bs]]/abonos[[#This Row],[Tasa]],"0"))</f>
        <v>40</v>
      </c>
      <c r="O10" s="39">
        <v>45064</v>
      </c>
    </row>
    <row r="11" spans="1:15" x14ac:dyDescent="0.25">
      <c r="A11" s="113">
        <v>3362</v>
      </c>
      <c r="B11" s="120">
        <v>45046</v>
      </c>
      <c r="C11" s="121" t="s">
        <v>131</v>
      </c>
      <c r="D11" s="121" t="str">
        <f>_xlfn.IFS(AND(PAGOS[[#This Row],[Pendiente]]&lt;1,PAGOS[[#This Row],[Pendiente]]&gt;-1),"PAGADO",PAGOS[[#This Row],[Pendiente]]&gt;=1,"EN DEUDA")</f>
        <v>EN DEUDA</v>
      </c>
      <c r="E11" s="122">
        <v>328</v>
      </c>
      <c r="F11" s="123">
        <f>SUMIFS(abonos[ABONO],abonos[REFERENCIA],PAGOS[[#This Row],[NRO FACTURA]])</f>
        <v>320</v>
      </c>
      <c r="G11" s="124">
        <f>PAGOS[[#This Row],[DEUDA]]-PAGOS[[#This Row],[CANCELADO]]</f>
        <v>8</v>
      </c>
      <c r="H11" s="35"/>
      <c r="I11" s="15">
        <v>14126</v>
      </c>
      <c r="J11" s="111" t="str">
        <f>VLOOKUP(abonos[[#This Row],[REFERENCIA]],PAGOS[],3,FALSE)</f>
        <v>motomastro</v>
      </c>
      <c r="K11" s="38">
        <v>25.48</v>
      </c>
      <c r="L11" s="32">
        <v>178.36</v>
      </c>
      <c r="M11" s="32"/>
      <c r="N11" s="33">
        <f>abonos[[#This Row],[DOLARES]]+(IF(K11&gt;0,abonos[[#This Row],[Bs]]/abonos[[#This Row],[Tasa]],"0"))</f>
        <v>7</v>
      </c>
      <c r="O11" s="39">
        <v>45062</v>
      </c>
    </row>
    <row r="12" spans="1:15" x14ac:dyDescent="0.25">
      <c r="A12" s="113">
        <v>16040</v>
      </c>
      <c r="B12" s="120">
        <v>45048</v>
      </c>
      <c r="C12" s="121" t="s">
        <v>177</v>
      </c>
      <c r="D12" s="121" t="str">
        <f>_xlfn.IFS(AND(PAGOS[[#This Row],[Pendiente]]&lt;1,PAGOS[[#This Row],[Pendiente]]&gt;-1),"PAGADO",PAGOS[[#This Row],[Pendiente]]&gt;=1,"EN DEUDA")</f>
        <v>EN DEUDA</v>
      </c>
      <c r="E12" s="122">
        <v>140.24</v>
      </c>
      <c r="F12" s="123">
        <f>SUMIFS(abonos[ABONO],abonos[REFERENCIA],PAGOS[[#This Row],[NRO FACTURA]])</f>
        <v>100</v>
      </c>
      <c r="G12" s="124">
        <f>PAGOS[[#This Row],[DEUDA]]-PAGOS[[#This Row],[CANCELADO]]</f>
        <v>40.240000000000009</v>
      </c>
      <c r="H12" s="35"/>
      <c r="I12" s="15">
        <v>14126</v>
      </c>
      <c r="J12" s="111" t="str">
        <f>VLOOKUP(abonos[[#This Row],[REFERENCIA]],PAGOS[],3,FALSE)</f>
        <v>motomastro</v>
      </c>
      <c r="K12" s="38">
        <f>abonos[[#This Row],[Bs]]/(VLOOKUP(abonos[[#This Row],[REFERENCIA]],PAGOS[],5,FALSE))</f>
        <v>0</v>
      </c>
      <c r="L12" s="32"/>
      <c r="M12" s="32">
        <v>300</v>
      </c>
      <c r="N12" s="33">
        <f>abonos[[#This Row],[DOLARES]]+(IF(K12&gt;0,abonos[[#This Row],[Bs]]/abonos[[#This Row],[Tasa]],"0"))</f>
        <v>300</v>
      </c>
      <c r="O12" s="39">
        <v>45062</v>
      </c>
    </row>
    <row r="13" spans="1:15" x14ac:dyDescent="0.25">
      <c r="A13" s="114">
        <v>14126</v>
      </c>
      <c r="B13" s="125">
        <v>45044</v>
      </c>
      <c r="C13" s="126" t="s">
        <v>176</v>
      </c>
      <c r="D13" s="126" t="str">
        <f>_xlfn.IFS(AND(PAGOS[[#This Row],[Pendiente]]&lt;1,PAGOS[[#This Row],[Pendiente]]&gt;-1),"PAGADO",PAGOS[[#This Row],[Pendiente]]&gt;=1,"EN DEUDA")</f>
        <v>PAGADO</v>
      </c>
      <c r="E13" s="127">
        <v>307.85000000000002</v>
      </c>
      <c r="F13" s="128">
        <f>SUMIFS(abonos[ABONO],abonos[REFERENCIA],PAGOS[[#This Row],[NRO FACTURA]])</f>
        <v>307</v>
      </c>
      <c r="G13" s="129">
        <f>PAGOS[[#This Row],[DEUDA]]-PAGOS[[#This Row],[CANCELADO]]</f>
        <v>0.85000000000002274</v>
      </c>
      <c r="H13" s="35"/>
      <c r="I13" s="61">
        <v>159</v>
      </c>
      <c r="J13" s="111" t="str">
        <f>VLOOKUP(abonos[[#This Row],[REFERENCIA]],PAGOS[],3,FALSE)</f>
        <v>ToyoMayor</v>
      </c>
      <c r="K13" s="38">
        <f>abonos[[#This Row],[Bs]]/(VLOOKUP(abonos[[#This Row],[REFERENCIA]],PAGOS[],5,FALSE))</f>
        <v>0</v>
      </c>
      <c r="L13" s="32"/>
      <c r="M13" s="32">
        <v>200</v>
      </c>
      <c r="N13" s="33">
        <f>abonos[[#This Row],[DOLARES]]+(IF(K13&gt;0,abonos[[#This Row],[Bs]]/abonos[[#This Row],[Tasa]],"0"))</f>
        <v>200</v>
      </c>
      <c r="O13" s="39">
        <v>45058</v>
      </c>
    </row>
    <row r="14" spans="1:15" x14ac:dyDescent="0.25">
      <c r="A14" s="114">
        <v>12907</v>
      </c>
      <c r="B14" s="125">
        <v>45034</v>
      </c>
      <c r="C14" s="126" t="s">
        <v>186</v>
      </c>
      <c r="D14" s="126" t="str">
        <f>_xlfn.IFS(AND(PAGOS[[#This Row],[Pendiente]]&lt;1,PAGOS[[#This Row],[Pendiente]]&gt;-1),"PAGADO",PAGOS[[#This Row],[Pendiente]]&gt;=1,"EN DEUDA")</f>
        <v>EN DEUDA</v>
      </c>
      <c r="E14" s="127">
        <v>360.01</v>
      </c>
      <c r="F14" s="128">
        <f>SUMIFS(abonos[ABONO],abonos[REFERENCIA],PAGOS[[#This Row],[NRO FACTURA]])</f>
        <v>0</v>
      </c>
      <c r="G14" s="129">
        <f>PAGOS[[#This Row],[DEUDA]]-PAGOS[[#This Row],[CANCELADO]]</f>
        <v>360.01</v>
      </c>
      <c r="H14" s="35"/>
      <c r="I14" s="15">
        <v>3362</v>
      </c>
      <c r="J14" s="111" t="str">
        <f>VLOOKUP(abonos[[#This Row],[REFERENCIA]],PAGOS[],3,FALSE)</f>
        <v>soldven</v>
      </c>
      <c r="K14" s="38">
        <f>abonos[[#This Row],[Bs]]/(VLOOKUP(abonos[[#This Row],[REFERENCIA]],PAGOS[],5,FALSE))</f>
        <v>0</v>
      </c>
      <c r="L14" s="32"/>
      <c r="M14" s="32">
        <v>200</v>
      </c>
      <c r="N14" s="33">
        <f>abonos[[#This Row],[DOLARES]]+(IF(K14&gt;0,abonos[[#This Row],[Bs]]/abonos[[#This Row],[Tasa]],"0"))</f>
        <v>200</v>
      </c>
      <c r="O14" s="39">
        <v>45054</v>
      </c>
    </row>
    <row r="15" spans="1:15" x14ac:dyDescent="0.25">
      <c r="A15" s="114">
        <v>4120</v>
      </c>
      <c r="B15" s="125">
        <v>45043</v>
      </c>
      <c r="C15" s="126" t="s">
        <v>187</v>
      </c>
      <c r="D15" s="126" t="str">
        <f>_xlfn.IFS(AND(PAGOS[[#This Row],[Pendiente]]&lt;1,PAGOS[[#This Row],[Pendiente]]&gt;-1),"PAGADO",PAGOS[[#This Row],[Pendiente]]&gt;=1,"EN DEUDA")</f>
        <v>EN DEUDA</v>
      </c>
      <c r="E15" s="127">
        <v>501.3</v>
      </c>
      <c r="F15" s="128">
        <f>SUMIFS(abonos[ABONO],abonos[REFERENCIA],PAGOS[[#This Row],[NRO FACTURA]])</f>
        <v>0</v>
      </c>
      <c r="G15" s="129">
        <f>PAGOS[[#This Row],[DEUDA]]-PAGOS[[#This Row],[CANCELADO]]</f>
        <v>501.3</v>
      </c>
      <c r="H15" s="35"/>
      <c r="I15" s="15">
        <v>159</v>
      </c>
      <c r="J15" s="111" t="str">
        <f>VLOOKUP(abonos[[#This Row],[REFERENCIA]],PAGOS[],3,FALSE)</f>
        <v>ToyoMayor</v>
      </c>
      <c r="K15" s="38">
        <f>abonos[[#This Row],[Bs]]/(VLOOKUP(abonos[[#This Row],[REFERENCIA]],PAGOS[],5,FALSE))</f>
        <v>0</v>
      </c>
      <c r="L15" s="32"/>
      <c r="M15" s="32">
        <v>200</v>
      </c>
      <c r="N15" s="33">
        <f>abonos[[#This Row],[DOLARES]]+(IF(K15&gt;0,abonos[[#This Row],[Bs]]/abonos[[#This Row],[Tasa]],"0"))</f>
        <v>200</v>
      </c>
      <c r="O15" s="39">
        <v>45044</v>
      </c>
    </row>
    <row r="16" spans="1:15" x14ac:dyDescent="0.25">
      <c r="A16" s="113">
        <v>12908</v>
      </c>
      <c r="B16" s="120">
        <v>45034</v>
      </c>
      <c r="C16" s="121" t="s">
        <v>186</v>
      </c>
      <c r="D16" s="121" t="str">
        <f>_xlfn.IFS(AND(PAGOS[[#This Row],[Pendiente]]&lt;1,PAGOS[[#This Row],[Pendiente]]&gt;-1),"PAGADO",PAGOS[[#This Row],[Pendiente]]&gt;=1,"EN DEUDA")</f>
        <v>EN DEUDA</v>
      </c>
      <c r="E16" s="122">
        <v>155.12</v>
      </c>
      <c r="F16" s="123">
        <f>SUMIFS(abonos[ABONO],abonos[REFERENCIA],PAGOS[[#This Row],[NRO FACTURA]])</f>
        <v>0</v>
      </c>
      <c r="G16" s="124">
        <f>PAGOS[[#This Row],[DEUDA]]-PAGOS[[#This Row],[CANCELADO]]</f>
        <v>155.12</v>
      </c>
      <c r="H16" s="35"/>
      <c r="I16" s="15">
        <v>7001</v>
      </c>
      <c r="J16" s="111" t="str">
        <f>VLOOKUP(abonos[[#This Row],[REFERENCIA]],PAGOS[],3,FALSE)</f>
        <v>M&amp;T inveriones</v>
      </c>
      <c r="K16" s="38">
        <v>24.57</v>
      </c>
      <c r="L16" s="32">
        <v>316.45999999999998</v>
      </c>
      <c r="M16" s="32">
        <v>20</v>
      </c>
      <c r="N16" s="33">
        <f>abonos[[#This Row],[DOLARES]]+(IF(K16&gt;0,abonos[[#This Row],[Bs]]/abonos[[#This Row],[Tasa]],"0"))</f>
        <v>32.879934879934879</v>
      </c>
      <c r="O16" s="39">
        <v>45037</v>
      </c>
    </row>
    <row r="17" spans="1:15" x14ac:dyDescent="0.25">
      <c r="A17" s="113">
        <v>7001</v>
      </c>
      <c r="B17" s="115">
        <v>44973</v>
      </c>
      <c r="C17" s="116" t="s">
        <v>119</v>
      </c>
      <c r="D17" s="116" t="str">
        <f>_xlfn.IFS(AND(PAGOS[[#This Row],[Pendiente]]&lt;1,PAGOS[[#This Row],[Pendiente]]&gt;-1),"PAGADO",PAGOS[[#This Row],[Pendiente]]&gt;=1,"EN DEUDA")</f>
        <v>EN DEUDA</v>
      </c>
      <c r="E17" s="117">
        <v>1732.88</v>
      </c>
      <c r="F17" s="117">
        <f>SUMIFS(abonos[ABONO],abonos[REFERENCIA],PAGOS[[#This Row],[NRO FACTURA]])</f>
        <v>832.87993487993481</v>
      </c>
      <c r="G17" s="119">
        <f>PAGOS[[#This Row],[DEUDA]]-PAGOS[[#This Row],[CANCELADO]]</f>
        <v>900.0000651200653</v>
      </c>
      <c r="H17" s="36"/>
      <c r="I17" s="84">
        <v>159</v>
      </c>
      <c r="J17" s="111" t="str">
        <f>VLOOKUP(abonos[[#This Row],[REFERENCIA]],PAGOS[],3,FALSE)</f>
        <v>ToyoMayor</v>
      </c>
      <c r="K17" s="38">
        <f>abonos[[#This Row],[Bs]]/(VLOOKUP(abonos[[#This Row],[REFERENCIA]],PAGOS[],5,FALSE))</f>
        <v>0</v>
      </c>
      <c r="L17" s="32"/>
      <c r="M17" s="32">
        <v>400</v>
      </c>
      <c r="N17" s="33">
        <f>abonos[[#This Row],[DOLARES]]+(IF(K17&gt;0,abonos[[#This Row],[Bs]]/abonos[[#This Row],[Tasa]],"0"))</f>
        <v>400</v>
      </c>
      <c r="O17" s="39">
        <v>45037</v>
      </c>
    </row>
    <row r="18" spans="1:15" x14ac:dyDescent="0.25">
      <c r="A18" s="113">
        <v>1277</v>
      </c>
      <c r="B18" s="115">
        <v>44966</v>
      </c>
      <c r="C18" s="116" t="s">
        <v>130</v>
      </c>
      <c r="D18" s="116" t="str">
        <f>_xlfn.IFS(AND(PAGOS[[#This Row],[Pendiente]]&lt;1,PAGOS[[#This Row],[Pendiente]]&gt;-1),"PAGADO",PAGOS[[#This Row],[Pendiente]]&gt;=1,"EN DEUDA")</f>
        <v>EN DEUDA</v>
      </c>
      <c r="E18" s="117">
        <v>588.66</v>
      </c>
      <c r="F18" s="118">
        <f>SUMIFS(abonos[ABONO],abonos[REFERENCIA],PAGOS[[#This Row],[NRO FACTURA]])</f>
        <v>0</v>
      </c>
      <c r="G18" s="119">
        <f>PAGOS[[#This Row],[DEUDA]]-PAGOS[[#This Row],[CANCELADO]]</f>
        <v>588.66</v>
      </c>
      <c r="H18" s="35"/>
      <c r="I18" s="84">
        <v>7001</v>
      </c>
      <c r="J18" s="111" t="str">
        <f>VLOOKUP(abonos[[#This Row],[REFERENCIA]],PAGOS[],3,FALSE)</f>
        <v>M&amp;T inveriones</v>
      </c>
      <c r="K18" s="38">
        <f>abonos[[#This Row],[Bs]]/(VLOOKUP(abonos[[#This Row],[REFERENCIA]],PAGOS[],5,FALSE))</f>
        <v>0</v>
      </c>
      <c r="L18" s="32"/>
      <c r="M18" s="32">
        <v>100</v>
      </c>
      <c r="N18" s="33">
        <f>abonos[[#This Row],[DOLARES]]+(IF(K18&gt;0,abonos[[#This Row],[Bs]]/abonos[[#This Row],[Tasa]],"0"))</f>
        <v>100</v>
      </c>
      <c r="O18" s="39">
        <v>45029</v>
      </c>
    </row>
    <row r="19" spans="1:15" x14ac:dyDescent="0.25">
      <c r="A19" s="114">
        <v>3229</v>
      </c>
      <c r="B19" s="130">
        <v>44976</v>
      </c>
      <c r="C19" s="131" t="s">
        <v>131</v>
      </c>
      <c r="D19" s="131" t="str">
        <f>_xlfn.IFS(AND(PAGOS[[#This Row],[Pendiente]]&lt;1,PAGOS[[#This Row],[Pendiente]]&gt;-1),"PAGADO",PAGOS[[#This Row],[Pendiente]]&gt;=1,"EN DEUDA")</f>
        <v>PAGADO</v>
      </c>
      <c r="E19" s="132">
        <v>404</v>
      </c>
      <c r="F19" s="133">
        <f>SUMIFS(abonos[ABONO],abonos[REFERENCIA],PAGOS[[#This Row],[NRO FACTURA]])</f>
        <v>404</v>
      </c>
      <c r="G19" s="134">
        <f>PAGOS[[#This Row],[DEUDA]]-PAGOS[[#This Row],[CANCELADO]]</f>
        <v>0</v>
      </c>
      <c r="H19" s="35"/>
      <c r="I19" s="84">
        <v>159</v>
      </c>
      <c r="J19" s="111" t="str">
        <f>VLOOKUP(abonos[[#This Row],[REFERENCIA]],PAGOS[],3,FALSE)</f>
        <v>ToyoMayor</v>
      </c>
      <c r="K19" s="38">
        <f>abonos[[#This Row],[Bs]]/(VLOOKUP(abonos[[#This Row],[REFERENCIA]],PAGOS[],5,FALSE))</f>
        <v>0</v>
      </c>
      <c r="L19" s="32"/>
      <c r="M19" s="32">
        <v>400</v>
      </c>
      <c r="N19" s="33">
        <f>abonos[[#This Row],[DOLARES]]+(IF(K19&gt;0,abonos[[#This Row],[Bs]]/abonos[[#This Row],[Tasa]],"0"))</f>
        <v>400</v>
      </c>
      <c r="O19" s="39">
        <v>45027</v>
      </c>
    </row>
    <row r="20" spans="1:15" x14ac:dyDescent="0.25">
      <c r="A20" s="114" t="s">
        <v>133</v>
      </c>
      <c r="B20" s="125">
        <v>44994</v>
      </c>
      <c r="C20" s="126" t="s">
        <v>134</v>
      </c>
      <c r="D20" s="126" t="str">
        <f>_xlfn.IFS(AND(PAGOS[[#This Row],[Pendiente]]&lt;1,PAGOS[[#This Row],[Pendiente]]&gt;-1),"PAGADO",PAGOS[[#This Row],[Pendiente]]&gt;=1,"EN DEUDA")</f>
        <v>PAGADO</v>
      </c>
      <c r="E20" s="127">
        <v>50</v>
      </c>
      <c r="F20" s="128">
        <f>SUMIFS(abonos[ABONO],abonos[REFERENCIA],PAGOS[[#This Row],[NRO FACTURA]])</f>
        <v>50</v>
      </c>
      <c r="G20" s="134">
        <f>PAGOS[[#This Row],[DEUDA]]-PAGOS[[#This Row],[CANCELADO]]</f>
        <v>0</v>
      </c>
      <c r="H20" s="35"/>
      <c r="I20" s="15">
        <v>600</v>
      </c>
      <c r="J20" s="111" t="str">
        <f>VLOOKUP(abonos[[#This Row],[REFERENCIA]],PAGOS[],3,FALSE)</f>
        <v>Vifa Electronics</v>
      </c>
      <c r="K20" s="38">
        <f>abonos[[#This Row],[Bs]]/(VLOOKUP(abonos[[#This Row],[REFERENCIA]],PAGOS[],5,FALSE))</f>
        <v>0</v>
      </c>
      <c r="L20" s="32"/>
      <c r="M20" s="32">
        <v>138.15</v>
      </c>
      <c r="N20" s="33">
        <f>abonos[[#This Row],[DOLARES]]+(IF(K20&gt;0,abonos[[#This Row],[Bs]]/abonos[[#This Row],[Tasa]],"0"))</f>
        <v>138.15</v>
      </c>
      <c r="O20" s="39">
        <v>45021</v>
      </c>
    </row>
    <row r="21" spans="1:15" x14ac:dyDescent="0.25">
      <c r="A21" s="114">
        <v>600</v>
      </c>
      <c r="B21" s="125">
        <v>45031</v>
      </c>
      <c r="C21" s="126" t="s">
        <v>149</v>
      </c>
      <c r="D21" s="126" t="str">
        <f>_xlfn.IFS(AND(PAGOS[[#This Row],[Pendiente]]&lt;1,PAGOS[[#This Row],[Pendiente]]&gt;-1),"PAGADO",PAGOS[[#This Row],[Pendiente]]&gt;=1,"EN DEUDA")</f>
        <v>PAGADO</v>
      </c>
      <c r="E21" s="127">
        <v>138.15</v>
      </c>
      <c r="F21" s="128">
        <f>SUMIFS(abonos[ABONO],abonos[REFERENCIA],PAGOS[[#This Row],[NRO FACTURA]])</f>
        <v>138.15</v>
      </c>
      <c r="G21" s="129">
        <f>PAGOS[[#This Row],[DEUDA]]-PAGOS[[#This Row],[CANCELADO]]</f>
        <v>0</v>
      </c>
      <c r="H21" s="35"/>
      <c r="I21" s="15">
        <v>7001</v>
      </c>
      <c r="J21" s="111" t="str">
        <f>VLOOKUP(abonos[[#This Row],[REFERENCIA]],PAGOS[],3,FALSE)</f>
        <v>M&amp;T inveriones</v>
      </c>
      <c r="K21" s="38">
        <f>abonos[[#This Row],[Bs]]/(VLOOKUP(abonos[[#This Row],[REFERENCIA]],PAGOS[],5,FALSE))</f>
        <v>0</v>
      </c>
      <c r="L21" s="32"/>
      <c r="M21" s="32">
        <v>200</v>
      </c>
      <c r="N21" s="33">
        <f>abonos[[#This Row],[DOLARES]]+(IF(K21&gt;0,abonos[[#This Row],[Bs]]/abonos[[#This Row],[Tasa]],"0"))</f>
        <v>200</v>
      </c>
      <c r="O21" s="39">
        <v>45015</v>
      </c>
    </row>
    <row r="22" spans="1:15" x14ac:dyDescent="0.25">
      <c r="A22" s="114">
        <v>164</v>
      </c>
      <c r="B22" s="125">
        <v>45048</v>
      </c>
      <c r="C22" s="126" t="s">
        <v>189</v>
      </c>
      <c r="D22" s="126" t="str">
        <f>_xlfn.IFS(AND(PAGOS[[#This Row],[Pendiente]]&lt;1,PAGOS[[#This Row],[Pendiente]]&gt;-1),"PAGADO",PAGOS[[#This Row],[Pendiente]]&gt;=1,"EN DEUDA")</f>
        <v>EN DEUDA</v>
      </c>
      <c r="E22" s="127">
        <v>257.33</v>
      </c>
      <c r="F22" s="128">
        <f>SUMIFS(abonos[ABONO],abonos[REFERENCIA],PAGOS[[#This Row],[NRO FACTURA]])</f>
        <v>0</v>
      </c>
      <c r="G22" s="129">
        <f>PAGOS[[#This Row],[DEUDA]]-PAGOS[[#This Row],[CANCELADO]]</f>
        <v>257.33</v>
      </c>
      <c r="H22" s="35"/>
      <c r="I22" s="15">
        <v>3229</v>
      </c>
      <c r="J22" s="111" t="str">
        <f>VLOOKUP(abonos[[#This Row],[REFERENCIA]],PAGOS[],3,FALSE)</f>
        <v>soldven</v>
      </c>
      <c r="K22" s="38">
        <f>abonos[[#This Row],[Bs]]/(VLOOKUP(abonos[[#This Row],[REFERENCIA]],PAGOS[],5,FALSE))</f>
        <v>0</v>
      </c>
      <c r="L22" s="32"/>
      <c r="M22" s="32">
        <v>64</v>
      </c>
      <c r="N22" s="33">
        <f>abonos[[#This Row],[DOLARES]]+(IF(K22&gt;0,abonos[[#This Row],[Bs]]/abonos[[#This Row],[Tasa]],"0"))</f>
        <v>64</v>
      </c>
      <c r="O22" s="39">
        <v>45012</v>
      </c>
    </row>
    <row r="23" spans="1:15" x14ac:dyDescent="0.25">
      <c r="A23" s="114"/>
      <c r="B23" s="125"/>
      <c r="C23" s="126"/>
      <c r="D23" s="126" t="str">
        <f>_xlfn.IFS(AND(PAGOS[[#This Row],[Pendiente]]&lt;1,PAGOS[[#This Row],[Pendiente]]&gt;-1),"PAGADO",PAGOS[[#This Row],[Pendiente]]&gt;=1,"EN DEUDA")</f>
        <v>PAGADO</v>
      </c>
      <c r="E23" s="127"/>
      <c r="F23" s="128">
        <f>SUMIFS(abonos[ABONO],abonos[REFERENCIA],PAGOS[[#This Row],[NRO FACTURA]])</f>
        <v>0</v>
      </c>
      <c r="G23" s="129">
        <f>PAGOS[[#This Row],[DEUDA]]-PAGOS[[#This Row],[CANCELADO]]</f>
        <v>0</v>
      </c>
      <c r="H23" s="35"/>
      <c r="I23" s="15">
        <v>159</v>
      </c>
      <c r="J23" s="111" t="str">
        <f>VLOOKUP(abonos[[#This Row],[REFERENCIA]],PAGOS[],3,FALSE)</f>
        <v>ToyoMayor</v>
      </c>
      <c r="K23" s="38">
        <f>abonos[[#This Row],[Bs]]/(VLOOKUP(abonos[[#This Row],[REFERENCIA]],PAGOS[],5,FALSE))</f>
        <v>0</v>
      </c>
      <c r="L23" s="32"/>
      <c r="M23" s="32">
        <v>300</v>
      </c>
      <c r="N23" s="33">
        <f>abonos[[#This Row],[DOLARES]]+(IF(K23&gt;0,abonos[[#This Row],[Bs]]/abonos[[#This Row],[Tasa]],"0"))</f>
        <v>300</v>
      </c>
      <c r="O23" s="39">
        <v>45008</v>
      </c>
    </row>
    <row r="24" spans="1:15" x14ac:dyDescent="0.25">
      <c r="H24" s="35"/>
      <c r="I24" s="15">
        <v>7001</v>
      </c>
      <c r="J24" s="111" t="str">
        <f>VLOOKUP(abonos[[#This Row],[REFERENCIA]],PAGOS[],3,FALSE)</f>
        <v>M&amp;T inveriones</v>
      </c>
      <c r="K24" s="38">
        <f>abonos[[#This Row],[Bs]]/(VLOOKUP(abonos[[#This Row],[REFERENCIA]],PAGOS[],5,FALSE))</f>
        <v>0</v>
      </c>
      <c r="L24" s="32"/>
      <c r="M24" s="32">
        <v>100</v>
      </c>
      <c r="N24" s="33">
        <f>abonos[[#This Row],[DOLARES]]+(IF(K24&gt;0,abonos[[#This Row],[Bs]]/abonos[[#This Row],[Tasa]],"0"))</f>
        <v>100</v>
      </c>
      <c r="O24" s="39">
        <v>45008</v>
      </c>
    </row>
    <row r="25" spans="1:15" x14ac:dyDescent="0.25">
      <c r="H25" s="35"/>
      <c r="I25" s="15">
        <v>3229</v>
      </c>
      <c r="J25" s="111" t="str">
        <f>VLOOKUP(abonos[[#This Row],[REFERENCIA]],PAGOS[],3,FALSE)</f>
        <v>soldven</v>
      </c>
      <c r="K25" s="38">
        <f>abonos[[#This Row],[Bs]]/(VLOOKUP(abonos[[#This Row],[REFERENCIA]],PAGOS[],5,FALSE))</f>
        <v>0</v>
      </c>
      <c r="L25" s="32"/>
      <c r="M25" s="32">
        <v>40</v>
      </c>
      <c r="N25" s="33">
        <f>abonos[[#This Row],[DOLARES]]+(IF(K25&gt;0,abonos[[#This Row],[Bs]]/abonos[[#This Row],[Tasa]],"0"))</f>
        <v>40</v>
      </c>
      <c r="O25" s="39">
        <v>45006</v>
      </c>
    </row>
    <row r="26" spans="1:15" x14ac:dyDescent="0.25">
      <c r="H26" s="35"/>
      <c r="I26" s="15">
        <v>3229</v>
      </c>
      <c r="J26" s="111" t="str">
        <f>VLOOKUP(abonos[[#This Row],[REFERENCIA]],PAGOS[],3,FALSE)</f>
        <v>soldven</v>
      </c>
      <c r="K26" s="38">
        <f>abonos[[#This Row],[Bs]]/(VLOOKUP(abonos[[#This Row],[REFERENCIA]],PAGOS[],5,FALSE))</f>
        <v>0</v>
      </c>
      <c r="L26" s="32"/>
      <c r="M26" s="32">
        <v>300</v>
      </c>
      <c r="N26" s="33">
        <f>abonos[[#This Row],[DOLARES]]+(IF(K26&gt;0,abonos[[#This Row],[Bs]]/abonos[[#This Row],[Tasa]],"0"))</f>
        <v>300</v>
      </c>
      <c r="O26" s="39">
        <v>44998</v>
      </c>
    </row>
    <row r="27" spans="1:15" x14ac:dyDescent="0.25">
      <c r="H27" s="35"/>
      <c r="I27" s="61" t="s">
        <v>133</v>
      </c>
      <c r="J27" s="111" t="str">
        <f>VLOOKUP(abonos[[#This Row],[REFERENCIA]],PAGOS[],3,FALSE)</f>
        <v>Junior guevara</v>
      </c>
      <c r="K27" s="38">
        <f>abonos[[#This Row],[Bs]]/(VLOOKUP(abonos[[#This Row],[REFERENCIA]],PAGOS[],5,FALSE))</f>
        <v>0</v>
      </c>
      <c r="L27" s="32"/>
      <c r="M27" s="32">
        <v>50</v>
      </c>
      <c r="N27" s="33">
        <f>abonos[[#This Row],[DOLARES]]+(IF(K27&gt;0,abonos[[#This Row],[Bs]]/abonos[[#This Row],[Tasa]],"0"))</f>
        <v>50</v>
      </c>
      <c r="O27" s="39">
        <v>44994</v>
      </c>
    </row>
    <row r="28" spans="1:15" x14ac:dyDescent="0.25">
      <c r="H28" s="35"/>
      <c r="I28" s="61">
        <v>159</v>
      </c>
      <c r="J28" s="111" t="str">
        <f>VLOOKUP(abonos[[#This Row],[REFERENCIA]],PAGOS[],3,FALSE)</f>
        <v>ToyoMayor</v>
      </c>
      <c r="K28" s="38">
        <f>abonos[[#This Row],[Bs]]/(VLOOKUP(abonos[[#This Row],[REFERENCIA]],PAGOS[],5,FALSE))</f>
        <v>0</v>
      </c>
      <c r="L28" s="32"/>
      <c r="M28" s="32">
        <v>500</v>
      </c>
      <c r="N28" s="33">
        <f>abonos[[#This Row],[DOLARES]]+(IF(K28&gt;0,abonos[[#This Row],[Bs]]/abonos[[#This Row],[Tasa]],"0"))</f>
        <v>500</v>
      </c>
      <c r="O28" s="39">
        <v>44991</v>
      </c>
    </row>
    <row r="29" spans="1:15" x14ac:dyDescent="0.25">
      <c r="H29" s="35"/>
      <c r="I29" s="15"/>
      <c r="J29" s="111"/>
      <c r="K29" s="38"/>
      <c r="L29" s="32"/>
      <c r="M29" s="32"/>
      <c r="N29" s="33"/>
      <c r="O29" s="39"/>
    </row>
    <row r="30" spans="1:15" x14ac:dyDescent="0.25">
      <c r="H30" s="35"/>
      <c r="I30" s="15"/>
      <c r="J30" s="111"/>
      <c r="K30" s="32"/>
      <c r="L30" s="32"/>
      <c r="M30" s="32"/>
      <c r="N30" s="33"/>
      <c r="O30" s="39"/>
    </row>
    <row r="31" spans="1:15" x14ac:dyDescent="0.25">
      <c r="H31" s="35"/>
      <c r="I31" s="15"/>
      <c r="J31" s="111"/>
      <c r="K31" s="32"/>
      <c r="L31" s="32"/>
      <c r="M31" s="32"/>
      <c r="N31" s="33"/>
      <c r="O31" s="39"/>
    </row>
    <row r="32" spans="1:15" x14ac:dyDescent="0.25">
      <c r="H32" s="35"/>
      <c r="I32" s="61"/>
      <c r="J32" s="111"/>
      <c r="K32" s="32"/>
      <c r="L32" s="32"/>
      <c r="M32" s="32"/>
      <c r="N32" s="33"/>
      <c r="O32" s="39"/>
    </row>
    <row r="33" spans="8:15" x14ac:dyDescent="0.25">
      <c r="H33" s="35"/>
      <c r="I33" s="61">
        <v>7001</v>
      </c>
      <c r="J33" s="112" t="str">
        <f>VLOOKUP(abonos[[#This Row],[REFERENCIA]],PAGOS[],3,FALSE)</f>
        <v>M&amp;T inveriones</v>
      </c>
      <c r="K33" s="38">
        <f>abonos[[#This Row],[Bs]]/(VLOOKUP(abonos[[#This Row],[REFERENCIA]],PAGOS[],5,FALSE))</f>
        <v>0</v>
      </c>
      <c r="L33" s="38"/>
      <c r="M33" s="38">
        <v>400</v>
      </c>
      <c r="N33" s="85">
        <f>abonos[[#This Row],[DOLARES]]+(IF(K33&gt;0,abonos[[#This Row],[Bs]]/abonos[[#This Row],[Tasa]],"0"))</f>
        <v>400</v>
      </c>
      <c r="O33" s="87">
        <v>44957</v>
      </c>
    </row>
    <row r="34" spans="8:15" x14ac:dyDescent="0.25">
      <c r="H34" s="35"/>
    </row>
    <row r="35" spans="8:15" x14ac:dyDescent="0.25">
      <c r="H35" s="35"/>
    </row>
    <row r="36" spans="8:15" x14ac:dyDescent="0.25">
      <c r="H36" s="35"/>
    </row>
    <row r="37" spans="8:15" x14ac:dyDescent="0.25">
      <c r="H37" s="36"/>
    </row>
    <row r="38" spans="8:15" x14ac:dyDescent="0.25">
      <c r="H38" s="36"/>
    </row>
    <row r="39" spans="8:15" x14ac:dyDescent="0.25">
      <c r="H39" s="36"/>
    </row>
    <row r="40" spans="8:15" x14ac:dyDescent="0.25">
      <c r="H40" s="36"/>
    </row>
    <row r="41" spans="8:15" x14ac:dyDescent="0.25">
      <c r="H41" s="36"/>
    </row>
    <row r="42" spans="8:15" x14ac:dyDescent="0.25">
      <c r="H42" s="36"/>
    </row>
  </sheetData>
  <phoneticPr fontId="2" type="noConversion"/>
  <conditionalFormatting sqref="D8:D23">
    <cfRule type="containsText" dxfId="37" priority="1" operator="containsText" text="EXCEDIDO">
      <formula>NOT(ISERROR(SEARCH("EXCEDIDO",D8)))</formula>
    </cfRule>
    <cfRule type="containsText" dxfId="36" priority="2" operator="containsText" text="PAGADO">
      <formula>NOT(ISERROR(SEARCH("PAGADO",D8)))</formula>
    </cfRule>
    <cfRule type="containsText" dxfId="35" priority="3" operator="containsText" text="EN DEUDA">
      <formula>NOT(ISERROR(SEARCH("EN DEUDA",D8)))</formula>
    </cfRule>
  </conditionalFormatting>
  <pageMargins left="0.7" right="0.7" top="0.75" bottom="0.75" header="0.3" footer="0.3"/>
  <pageSetup orientation="portrait" r:id="rId1"/>
  <drawing r:id="rId2"/>
  <legacy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6"/>
  </sheetPr>
  <dimension ref="B2:J11"/>
  <sheetViews>
    <sheetView showGridLines="0" workbookViewId="0">
      <selection activeCell="G18" sqref="G18"/>
    </sheetView>
  </sheetViews>
  <sheetFormatPr baseColWidth="10" defaultColWidth="11.44140625" defaultRowHeight="14.4" x14ac:dyDescent="0.3"/>
  <cols>
    <col min="1" max="1" width="11.44140625" style="4"/>
    <col min="2" max="2" width="12.5546875" style="4" customWidth="1"/>
    <col min="3" max="4" width="11.44140625" style="4"/>
    <col min="5" max="5" width="14.21875" style="4" customWidth="1"/>
    <col min="6" max="6" width="30.44140625" style="4" customWidth="1"/>
    <col min="7" max="7" width="20.44140625" style="4" customWidth="1"/>
    <col min="8" max="8" width="14.21875" style="4" customWidth="1"/>
    <col min="9" max="9" width="12.77734375" style="4" customWidth="1"/>
    <col min="10" max="10" width="13.44140625" style="4" customWidth="1"/>
    <col min="11" max="16384" width="11.44140625" style="4"/>
  </cols>
  <sheetData>
    <row r="2" spans="2:10" x14ac:dyDescent="0.3">
      <c r="H2" s="7" t="s">
        <v>30</v>
      </c>
      <c r="J2" s="7" t="s">
        <v>29</v>
      </c>
    </row>
    <row r="3" spans="2:10" x14ac:dyDescent="0.3">
      <c r="H3" s="1">
        <f>SUMIFS(FORANEO[COSTO],FORANEO[[FECHA ]],"&gt;="&amp;DATE(Resumen!C2,Resumen!B2,1),FORANEO[[FECHA ]],"&lt;="&amp;EOMONTH(DATE(Resumen!C2,Resumen!B2,1),0))</f>
        <v>0</v>
      </c>
      <c r="J3" s="1">
        <f>SUMIFS(FORANEO[VENTA],FORANEO[[FECHA ]],"&gt;="&amp;DATE(Resumen!C2,Resumen!B2,1),FORANEO[[FECHA ]],"&lt;="&amp;EOMONTH(DATE(Resumen!C2,Resumen!B2,1),0))</f>
        <v>0</v>
      </c>
    </row>
    <row r="7" spans="2:10" ht="15.6" x14ac:dyDescent="0.3">
      <c r="B7" s="8" t="s">
        <v>25</v>
      </c>
      <c r="C7" s="9" t="s">
        <v>21</v>
      </c>
      <c r="D7" s="9" t="s">
        <v>20</v>
      </c>
      <c r="E7" s="9" t="s">
        <v>26</v>
      </c>
      <c r="F7" s="9" t="s">
        <v>27</v>
      </c>
      <c r="G7" s="10" t="s">
        <v>28</v>
      </c>
    </row>
    <row r="8" spans="2:10" x14ac:dyDescent="0.3">
      <c r="B8" s="91">
        <v>44935</v>
      </c>
      <c r="C8" s="90">
        <v>150</v>
      </c>
      <c r="D8" s="90">
        <v>170</v>
      </c>
      <c r="E8" s="90">
        <f>FORANEO[[#This Row],[VENTA]]-FORANEO[[#This Row],[COSTO]]</f>
        <v>20</v>
      </c>
      <c r="F8" s="90" t="s">
        <v>112</v>
      </c>
      <c r="G8" s="92" t="s">
        <v>39</v>
      </c>
    </row>
    <row r="9" spans="2:10" x14ac:dyDescent="0.3">
      <c r="B9" s="93">
        <v>45031</v>
      </c>
      <c r="C9" s="94">
        <v>70</v>
      </c>
      <c r="D9" s="95">
        <v>90</v>
      </c>
      <c r="E9" s="90">
        <f>FORANEO[[#This Row],[VENTA]]-FORANEO[[#This Row],[COSTO]]</f>
        <v>20</v>
      </c>
      <c r="F9" s="95" t="s">
        <v>181</v>
      </c>
      <c r="G9" s="92" t="s">
        <v>39</v>
      </c>
    </row>
    <row r="10" spans="2:10" x14ac:dyDescent="0.3">
      <c r="B10" s="93">
        <v>45043</v>
      </c>
      <c r="C10" s="94">
        <v>35</v>
      </c>
      <c r="D10" s="95">
        <v>40</v>
      </c>
      <c r="E10" s="90">
        <f>FORANEO[[#This Row],[VENTA]]-FORANEO[[#This Row],[COSTO]]</f>
        <v>5</v>
      </c>
      <c r="F10" s="95" t="s">
        <v>182</v>
      </c>
      <c r="G10" s="92" t="s">
        <v>39</v>
      </c>
    </row>
    <row r="11" spans="2:10" x14ac:dyDescent="0.3">
      <c r="B11" s="96"/>
      <c r="C11" s="97"/>
      <c r="D11" s="97"/>
      <c r="E11" s="90">
        <f>FORANEO[[#This Row],[VENTA]]-FORANEO[[#This Row],[COSTO]]</f>
        <v>0</v>
      </c>
      <c r="F11" s="97"/>
      <c r="G11" s="9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Ventas diarias</vt:lpstr>
      <vt:lpstr>Gastos F-E</vt:lpstr>
      <vt:lpstr>Pagos</vt:lpstr>
      <vt:lpstr>Foraneos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Eltonpagina</dc:creator>
  <cp:lastModifiedBy>Elton Sandoval</cp:lastModifiedBy>
  <dcterms:created xsi:type="dcterms:W3CDTF">2022-12-02T17:08:15Z</dcterms:created>
  <dcterms:modified xsi:type="dcterms:W3CDTF">2026-03-24T22:22:46Z</dcterms:modified>
</cp:coreProperties>
</file>